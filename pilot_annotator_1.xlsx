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rm 1 - Anchored" sheetId="2" state="visible" r:id="rId2"/>
    <sheet xmlns:r="http://schemas.openxmlformats.org/officeDocument/2006/relationships" name="Arm 2 - Checklist" sheetId="3" state="visible" r:id="rId3"/>
    <sheet xmlns:r="http://schemas.openxmlformats.org/officeDocument/2006/relationships" name="Arm 3 - Rollup (auto)" sheetId="4" state="visible" r:id="rId4"/>
    <sheet xmlns:r="http://schemas.openxmlformats.org/officeDocument/2006/relationships" name="Anchor reference" sheetId="5" state="visible" r:id="rId5"/>
    <sheet xmlns:r="http://schemas.openxmlformats.org/officeDocument/2006/relationships" name="Time log" sheetId="6" state="visible" r:id="rId6"/>
    <sheet xmlns:r="http://schemas.openxmlformats.org/officeDocument/2006/relationships" name="_meta" sheetId="7" state="hidden"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6"/>
    </font>
    <font>
      <sz val="11"/>
    </font>
    <font>
      <b val="1"/>
      <color rgb="001F3864"/>
      <sz val="12"/>
    </font>
    <font>
      <b val="1"/>
      <color rgb="00FFFFFF"/>
      <sz val="11"/>
    </font>
    <font>
      <b val="1"/>
      <sz val="10"/>
    </font>
    <font>
      <sz val="9"/>
    </font>
    <font>
      <i val="1"/>
      <sz val="10"/>
    </font>
    <font>
      <b val="1"/>
      <sz val="11"/>
    </font>
    <font>
      <i val="1"/>
    </font>
    <font>
      <b val="1"/>
    </font>
  </fonts>
  <fills count="6">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xf>
    <xf numFmtId="0" fontId="5" fillId="3" borderId="0" applyAlignment="1" pivotButton="0" quotePrefix="0" xfId="0">
      <alignment vertical="top" wrapText="1"/>
    </xf>
    <xf numFmtId="0" fontId="0" fillId="3" borderId="0" applyAlignment="1" pivotButton="0" quotePrefix="0" xfId="0">
      <alignment vertical="top" wrapText="1"/>
    </xf>
    <xf numFmtId="0" fontId="5" fillId="0" borderId="0" pivotButton="0" quotePrefix="0" xfId="0"/>
    <xf numFmtId="0" fontId="0" fillId="0" borderId="0" applyAlignment="1" pivotButton="0" quotePrefix="0" xfId="0">
      <alignment vertical="top" wrapText="1"/>
    </xf>
    <xf numFmtId="0" fontId="0" fillId="4" borderId="1" applyAlignment="1" pivotButton="0" quotePrefix="0" xfId="0">
      <alignment horizontal="center" vertical="center"/>
    </xf>
    <xf numFmtId="0" fontId="0" fillId="4" borderId="0" applyAlignment="1" pivotButton="0" quotePrefix="0" xfId="0">
      <alignment vertical="top" wrapText="1"/>
    </xf>
    <xf numFmtId="0" fontId="5" fillId="5" borderId="0" applyAlignment="1" pivotButton="0" quotePrefix="0" xfId="0">
      <alignment vertical="top" wrapText="1"/>
    </xf>
    <xf numFmtId="0" fontId="0" fillId="5"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horizontal="center" vertical="center"/>
    </xf>
    <xf numFmtId="0" fontId="0" fillId="4" borderId="0" pivotButton="0" quotePrefix="0" xfId="0"/>
    <xf numFmtId="0" fontId="7" fillId="0" borderId="0" pivotButton="0" quotePrefix="0" xfId="0"/>
    <xf numFmtId="9" fontId="0"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pivotButton="0" quotePrefix="0" xfId="0"/>
    <xf numFmtId="0" fontId="0" fillId="4" borderId="1"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4" customWidth="1" min="1" max="1"/>
    <col width="110" customWidth="1" min="2" max="2"/>
  </cols>
  <sheetData>
    <row r="2">
      <c r="B2" s="1" t="inlineStr">
        <is>
          <t>Rubric pilot - please read this page first</t>
        </is>
      </c>
    </row>
    <row r="3">
      <c r="B3" s="2" t="inlineStr"/>
    </row>
    <row r="4">
      <c r="B4" s="2" t="inlineStr">
        <is>
          <t>Thank you for doing this. It takes about 122 minutes (2.0 hours) including breaks.</t>
        </is>
      </c>
    </row>
    <row r="5">
      <c r="B5" s="2" t="inlineStr"/>
    </row>
    <row r="6">
      <c r="B6" s="3" t="inlineStr">
        <is>
          <t>What we are trying to find out</t>
        </is>
      </c>
    </row>
    <row r="7" ht="45" customHeight="1">
      <c r="B7" s="2" t="inlineStr">
        <is>
          <t>We are about to let an AI score thousands of answers about Arizona water policy. Before we trust it, we need to know whether two knowledgeable people, given the same rubric and the same answer, land on the same score.</t>
        </is>
      </c>
    </row>
    <row r="8" ht="30" customHeight="1">
      <c r="B8" s="2" t="inlineStr">
        <is>
          <t>If two people cannot agree, the rubric is the problem, and no AI can fix that. That is the whole question here. You are not being tested - the rubric is.</t>
        </is>
      </c>
    </row>
    <row r="9">
      <c r="B9" s="2" t="inlineStr"/>
    </row>
    <row r="10">
      <c r="B10" s="3" t="inlineStr">
        <is>
          <t>What you do</t>
        </is>
      </c>
    </row>
    <row r="11">
      <c r="B11" s="2" t="inlineStr">
        <is>
          <t>Two sheets need your input:</t>
        </is>
      </c>
    </row>
    <row r="12">
      <c r="B12" s="2" t="inlineStr">
        <is>
          <t xml:space="preserve">   Arm 1 - Anchored   -  give each row a score from 1 to 4 (28 cells)</t>
        </is>
      </c>
    </row>
    <row r="13">
      <c r="B13" s="2" t="inlineStr">
        <is>
          <t xml:space="preserve">   Arm 2 - Checklist  -  answer each row Yes or No (112 cells)</t>
        </is>
      </c>
    </row>
    <row r="14">
      <c r="B14" s="2" t="inlineStr"/>
    </row>
    <row r="15" ht="30" customHeight="1">
      <c r="B15" s="2" t="inlineStr">
        <is>
          <t>Arm 3 fills itself in from your Arm 2 answers. You do not type anything there. It is on its own sheet so you can see how it works.</t>
        </is>
      </c>
    </row>
    <row r="16">
      <c r="B16" s="2" t="inlineStr"/>
    </row>
    <row r="17" ht="30" customHeight="1">
      <c r="B17" s="2" t="inlineStr">
        <is>
          <t>Yellow cells are the ones you fill in. Every one has a dropdown - click the cell and pick. You can also just type the value.</t>
        </is>
      </c>
    </row>
    <row r="18">
      <c r="B18" s="2" t="inlineStr"/>
    </row>
    <row r="19">
      <c r="B19" s="3" t="inlineStr">
        <is>
          <t>Six rules</t>
        </is>
      </c>
    </row>
    <row r="20" ht="60" customHeight="1">
      <c r="B20" s="2" t="inlineStr">
        <is>
          <t>1.  Finish ALL of Arm 1 before you open Arm 2. Do not go back and forth. If you score something 3 in Arm 1 and then immediately fill in its checklist, you will make the checklist match the 3 - and we will have measured your memory instead of the rubric. Take a break between the two sheets.</t>
        </is>
      </c>
    </row>
    <row r="21" ht="30" customHeight="1">
      <c r="B21" s="2" t="inlineStr">
        <is>
          <t>2.  Score the ANSWER, not the question. A weak question with a well-handled answer still scores well.</t>
        </is>
      </c>
    </row>
    <row r="22" ht="45" customHeight="1">
      <c r="B22" s="2" t="inlineStr">
        <is>
          <t>3.  Judge only against the EVIDENCE shown on the row. Do not look anything up. If you cannot tell whether a claim is supported from what is in front of you, that IS the finding - score it as unsupported.</t>
        </is>
      </c>
    </row>
    <row r="23" ht="30" customHeight="1">
      <c r="B23" s="2" t="inlineStr">
        <is>
          <t>4.  If something genuinely does not apply, put NA. Do not guess a middle value. A guessed 2 is worse for us than a blank.</t>
        </is>
      </c>
    </row>
    <row r="24" ht="30" customHeight="1">
      <c r="B24" s="2" t="inlineStr">
        <is>
          <t>5.  Do not discuss any item with the other annotator until you have both finished. The entire measurement is how much you agree WITHOUT coordinating.</t>
        </is>
      </c>
    </row>
    <row r="25">
      <c r="B25" s="2" t="inlineStr">
        <is>
          <t>6.  Fill in the Time log sheet at the end. Roughly is fine.</t>
        </is>
      </c>
    </row>
    <row r="26">
      <c r="B26" s="2" t="inlineStr"/>
    </row>
    <row r="27">
      <c r="B27" s="3" t="inlineStr">
        <is>
          <t>Watch for these: 4 of the 12 questions should be partly declined</t>
        </is>
      </c>
    </row>
    <row r="28">
      <c r="B28" s="2" t="inlineStr">
        <is>
          <t>They have an orange header and say SHOULD PARTLY DECLINE.</t>
        </is>
      </c>
    </row>
    <row r="29" ht="60" customHeight="1">
      <c r="B29" s="2" t="inlineStr">
        <is>
          <t>They are not blank refusals. Each one turns down the part that cannot be answered, then states a correct general fact. For example, asked whether a specific address in Holbrook has an assured water supply, the right answer refuses the address lookup, then correctly notes that Holbrook is outside any AMA - so the applicable programme is 'adequate' water supply, not 'assured'.</t>
        </is>
      </c>
    </row>
    <row r="30" ht="45" customHeight="1">
      <c r="B30" s="2" t="inlineStr">
        <is>
          <t>These answers do two things at once, and we honestly do not know whether the rubric can score them consistently. THIS IS THE CASE WE MOST NEED YOUR JUDGEMENT ON. If you find one hard to score, write why in the Notes column. That note is worth as much to us as the score.</t>
        </is>
      </c>
    </row>
    <row r="31">
      <c r="B31" s="2" t="inlineStr"/>
    </row>
    <row r="32">
      <c r="B32" s="3" t="inlineStr">
        <is>
          <t>When you are done</t>
        </is>
      </c>
    </row>
    <row r="33">
      <c r="B33" s="2" t="inlineStr">
        <is>
          <t>Save the file with your name in it and send it back. Nothing else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workbookViewId="0">
      <pane ySplit="1" topLeftCell="A2" activePane="bottomLeft" state="frozen"/>
      <selection pane="bottomLeft" activeCell="A1" sqref="A1"/>
    </sheetView>
  </sheetViews>
  <sheetFormatPr baseColWidth="8" defaultRowHeight="15"/>
  <cols>
    <col width="30" customWidth="1" min="1" max="1"/>
    <col width="78" customWidth="1" min="2" max="2"/>
    <col width="12" customWidth="1" min="3" max="3"/>
    <col width="44" customWidth="1" min="4" max="4"/>
  </cols>
  <sheetData>
    <row r="1">
      <c r="A1" s="4" t="inlineStr">
        <is>
          <t>Item / Dimension</t>
        </is>
      </c>
      <c r="B1" s="4" t="inlineStr">
        <is>
          <t>What this dimension asks</t>
        </is>
      </c>
      <c r="C1" s="4" t="inlineStr">
        <is>
          <t>Score 1-4</t>
        </is>
      </c>
      <c r="D1" s="4" t="inlineStr">
        <is>
          <t>Notes (optional)</t>
        </is>
      </c>
    </row>
    <row r="2"/>
    <row r="3" ht="15" customHeight="1">
      <c r="A3" s="5" t="inlineStr">
        <is>
          <t>q004  (should answer)  -  Disclosure and Transaction</t>
        </is>
      </c>
    </row>
    <row r="4" ht="42" customHeight="1">
      <c r="A4" s="5" t="inlineStr">
        <is>
          <t>QUESTION</t>
        </is>
      </c>
      <c r="B4" s="6" t="inlineStr">
        <is>
          <t>If I know about a property being in a Stream Adjudication area, do I have to tell all my clients about it?</t>
        </is>
      </c>
    </row>
    <row r="5" ht="42" customHeight="1">
      <c r="A5" s="5" t="inlineStr">
        <is>
          <t>ANSWER being scored</t>
        </is>
      </c>
      <c r="B5" s="6" t="inlineStr">
        <is>
          <t>Yes. The General Stream Adjudications, including the Verde Watershed, are still ongoing and not all water rights have been fully decreed, so while a property may claim water rights, the final legal status, extent, and priority of those rights are still being determined by the courts with ADWR's help. Recommend the client check with the seller on whether they've been part of the adjudication and whether a decree was made, contact the Maricopa Superior Court Stream Adjudications office, and review any Statement of Claimant filed with ADWR. This doesn't apply to properties served by a municipal provider, only those diverting surface water or pumping subflow groundwater hydrologically connected to a river system.</t>
        </is>
      </c>
    </row>
    <row r="6" ht="42" customHeight="1">
      <c r="A6" s="5" t="inlineStr">
        <is>
          <t>EVIDENCE available</t>
        </is>
      </c>
      <c r="B6" s="6" t="inlineStr">
        <is>
          <t>This means that while a property may claim water rights, the final legal status, extent, and priority of those rights are still being determined by the courts, with help from the Arizona Department of Water Resources (ADWR).</t>
        </is>
      </c>
    </row>
    <row r="7" ht="30" customHeight="1">
      <c r="A7" s="7" t="inlineStr">
        <is>
          <t>grounding</t>
        </is>
      </c>
      <c r="B7" s="8" t="inlineStr">
        <is>
          <t>Is every factual claim in the response supported by the retrieved evidence?</t>
        </is>
      </c>
      <c r="C7" s="9" t="n"/>
      <c r="D7" s="10" t="n"/>
    </row>
    <row r="8" ht="30" customHeight="1">
      <c r="A8" s="7" t="inlineStr">
        <is>
          <t>correctness</t>
        </is>
      </c>
      <c r="B8" s="8" t="inlineStr">
        <is>
          <t>Is the answer factually right?</t>
        </is>
      </c>
      <c r="C8" s="9" t="n"/>
      <c r="D8" s="10" t="n"/>
    </row>
    <row r="9" ht="30" customHeight="1">
      <c r="A9" s="7" t="inlineStr">
        <is>
          <t>refusal_appropriateness</t>
        </is>
      </c>
      <c r="B9" s="8" t="inlineStr">
        <is>
          <t>Did the system decline when it should have, and answer when it should have?</t>
        </is>
      </c>
      <c r="C9" s="9" t="n"/>
      <c r="D9" s="10" t="n"/>
    </row>
    <row r="11" ht="15" customHeight="1">
      <c r="A11" s="11" t="inlineStr">
        <is>
          <t>q008  (SHOULD PARTLY DECLINE)  -  Address or Groundwater Basin Specific</t>
        </is>
      </c>
    </row>
    <row r="12" ht="42" customHeight="1">
      <c r="A12" s="11" t="inlineStr">
        <is>
          <t>QUESTION</t>
        </is>
      </c>
      <c r="B12" s="12" t="inlineStr">
        <is>
          <t>Is there an assured water supply at 25062 S Meridian Rd, Queen Creek, AZ 85142?</t>
        </is>
      </c>
    </row>
    <row r="13" ht="42" customHeight="1">
      <c r="A13" s="11" t="inlineStr">
        <is>
          <t>ANSWER being scored</t>
        </is>
      </c>
      <c r="B13" s="12" t="inlineStr">
        <is>
          <t>I can't determine assured water supply status for a specific address. Queen Creek straddles Maricopa and Pinal counties, both covered by Arizona's AMA system, so the buyer or agent should check ADWR's Certificate/Designation of Assured Water Supply database, or ask the municipal provider whether it holds a Designation of Assured Water Supply covering this property.</t>
        </is>
      </c>
    </row>
    <row r="14" ht="42" customHeight="1">
      <c r="A14" s="11" t="inlineStr">
        <is>
          <t>EVIDENCE available</t>
        </is>
      </c>
      <c r="B14" s="12" t="inlineStr">
        <is>
          <t>Currently there are eight AMAs (Prescott, Phoenix, Pinal, Tucson, Santa Cruz, Douglas, Willcox, Ranegras Plain) which are subject to regulation pursuant to the Groundwater Code.</t>
        </is>
      </c>
    </row>
    <row r="15" ht="30" customHeight="1">
      <c r="A15" s="7" t="inlineStr">
        <is>
          <t>refusal_appropriateness</t>
        </is>
      </c>
      <c r="B15" s="8" t="inlineStr">
        <is>
          <t>Did the system decline when it should have, and answer when it should have?</t>
        </is>
      </c>
      <c r="C15" s="9" t="n"/>
      <c r="D15" s="10" t="n"/>
    </row>
    <row r="17" ht="15" customHeight="1">
      <c r="A17" s="11" t="inlineStr">
        <is>
          <t>q009  (SHOULD PARTLY DECLINE)  -  Address or Groundwater Basin Specific</t>
        </is>
      </c>
    </row>
    <row r="18" ht="42" customHeight="1">
      <c r="A18" s="11" t="inlineStr">
        <is>
          <t>QUESTION</t>
        </is>
      </c>
      <c r="B18" s="12" t="inlineStr">
        <is>
          <t>Is there an assured water supply at 9972 Cattleman Rd. Holbrook, AZ 86025?</t>
        </is>
      </c>
    </row>
    <row r="19" ht="42" customHeight="1">
      <c r="A19" s="11" t="inlineStr">
        <is>
          <t>ANSWER being scored</t>
        </is>
      </c>
      <c r="B19" s="12" t="inlineStr">
        <is>
          <t>I can't determine that for a specific address. Also, since Holbrook is outside any AMA, the correct program is "adequate," not "assured," water supply, a different ADWR determination with somewhat lighter requirements. Contact ADWR or the local water provider to check status.</t>
        </is>
      </c>
    </row>
    <row r="20" ht="42" customHeight="1">
      <c r="A20" s="11" t="inlineStr">
        <is>
          <t>EVIDENCE available</t>
        </is>
      </c>
      <c r="B20" s="12" t="inlineStr">
        <is>
          <t>The Adequate Water Supply Program operates outside of the AMAs. It ensures that the water adequacy or inadequacy is disclosed in the public report provided to potential first purchasers.</t>
        </is>
      </c>
    </row>
    <row r="21" ht="30" customHeight="1">
      <c r="A21" s="7" t="inlineStr">
        <is>
          <t>refusal_appropriateness</t>
        </is>
      </c>
      <c r="B21" s="8" t="inlineStr">
        <is>
          <t>Did the system decline when it should have, and answer when it should have?</t>
        </is>
      </c>
      <c r="C21" s="9" t="n"/>
      <c r="D21" s="10" t="n"/>
    </row>
    <row r="23" ht="15" customHeight="1">
      <c r="A23" s="11" t="inlineStr">
        <is>
          <t>q012  (SHOULD PARTLY DECLINE)  -  Address or Groundwater Basin Specific</t>
        </is>
      </c>
    </row>
    <row r="24" ht="42" customHeight="1">
      <c r="A24" s="11" t="inlineStr">
        <is>
          <t>QUESTION</t>
        </is>
      </c>
      <c r="B24" s="12" t="inlineStr">
        <is>
          <t>Is the Agua Fria groundwater basin healthy?</t>
        </is>
      </c>
    </row>
    <row r="25" ht="42" customHeight="1">
      <c r="A25" s="11" t="inlineStr">
        <is>
          <t>ANSWER being scored</t>
        </is>
      </c>
      <c r="B25" s="12" t="inlineStr">
        <is>
          <t>I can't give a single yes/no on basin health. ADWR does publish a Supply and Demand Report (SDR) for each basin, required every 5 years, but it's a basin-wide water budget, not a fine-grained groundwater flow model, so it can't confirm the situation at any one parcel. Check the current SDR for the Agua Fria basin (or the Phoenix AMA management plan, which covers it) for the actual current data rather than relying on a general answer.</t>
        </is>
      </c>
    </row>
    <row r="26" ht="42" customHeight="1">
      <c r="A26" s="11" t="inlineStr">
        <is>
          <t>EVIDENCE available</t>
        </is>
      </c>
      <c r="B26" s="12" t="inlineStr">
        <is>
          <t>The SDRs are structured as water budgets, focusing on total inflows and outflows at the basin scale. The SDRs are not groundwater flow models with finer geographic results, which are conducted by ADWR's Hydrology Division.</t>
        </is>
      </c>
    </row>
    <row r="27" ht="30" customHeight="1">
      <c r="A27" s="7" t="inlineStr">
        <is>
          <t>refusal_appropriateness</t>
        </is>
      </c>
      <c r="B27" s="8" t="inlineStr">
        <is>
          <t>Did the system decline when it should have, and answer when it should have?</t>
        </is>
      </c>
      <c r="C27" s="9" t="n"/>
      <c r="D27" s="10" t="n"/>
    </row>
    <row r="29" ht="15" customHeight="1">
      <c r="A29" s="5" t="inlineStr">
        <is>
          <t>q013  (should answer)  -  Water-supply and Availability</t>
        </is>
      </c>
    </row>
    <row r="30" ht="42" customHeight="1">
      <c r="A30" s="5" t="inlineStr">
        <is>
          <t>QUESTION</t>
        </is>
      </c>
      <c r="B30" s="6" t="inlineStr">
        <is>
          <t>What communities in Arizona are investing in water recycling?</t>
        </is>
      </c>
    </row>
    <row r="31" ht="42" customHeight="1">
      <c r="A31" s="5" t="inlineStr">
        <is>
          <t>ANSWER being scored</t>
        </is>
      </c>
      <c r="B31" s="6" t="inlineStr">
        <is>
          <t>Several Arizona cities already treat and reuse wastewater as part of their supply portfolio, including Tucson (its "One Water 2100" plan) and Scottsdale, which lists reclaimed water as part of its diversified water supply alongside CAP and groundwater.</t>
        </is>
      </c>
    </row>
    <row r="32" ht="42" customHeight="1">
      <c r="A32" s="5" t="inlineStr">
        <is>
          <t>EVIDENCE available</t>
        </is>
      </c>
      <c r="B32" s="6" t="inlineStr">
        <is>
          <t>Scottsdale's diversified water portfolio includes Colorado River water delivered through the Central Arizona Project, Salt and Verde River water, reclaimed water and groundwater.</t>
        </is>
      </c>
    </row>
    <row r="33" ht="30" customHeight="1">
      <c r="A33" s="7" t="inlineStr">
        <is>
          <t>grounding</t>
        </is>
      </c>
      <c r="B33" s="8" t="inlineStr">
        <is>
          <t>Is every factual claim in the response supported by the retrieved evidence?</t>
        </is>
      </c>
      <c r="C33" s="9" t="n"/>
      <c r="D33" s="10" t="n"/>
    </row>
    <row r="34" ht="30" customHeight="1">
      <c r="A34" s="7" t="inlineStr">
        <is>
          <t>correctness</t>
        </is>
      </c>
      <c r="B34" s="8" t="inlineStr">
        <is>
          <t>Is the answer factually right?</t>
        </is>
      </c>
      <c r="C34" s="9" t="n"/>
      <c r="D34" s="10" t="n"/>
    </row>
    <row r="35" ht="30" customHeight="1">
      <c r="A35" s="7" t="inlineStr">
        <is>
          <t>refusal_appropriateness</t>
        </is>
      </c>
      <c r="B35" s="8" t="inlineStr">
        <is>
          <t>Did the system decline when it should have, and answer when it should have?</t>
        </is>
      </c>
      <c r="C35" s="9" t="n"/>
      <c r="D35" s="10" t="n"/>
    </row>
    <row r="37" ht="15" customHeight="1">
      <c r="A37" s="5" t="inlineStr">
        <is>
          <t>q017  (should answer)  -  Water-supply and Availability</t>
        </is>
      </c>
    </row>
    <row r="38" ht="42" customHeight="1">
      <c r="A38" s="5" t="inlineStr">
        <is>
          <t>QUESTION</t>
        </is>
      </c>
      <c r="B38" s="6" t="inlineStr">
        <is>
          <t>There's a property with a non-exempt well on it. What do I need to tell my buyer about investigating their ability to use this well for their business?</t>
        </is>
      </c>
    </row>
    <row r="39" ht="42" customHeight="1">
      <c r="A39" s="5" t="inlineStr">
        <is>
          <t>ANSWER being scored</t>
        </is>
      </c>
      <c r="B39" s="6" t="inlineStr">
        <is>
          <t>A non-exempt well (pumps more than 35 gallons per minute) needs a groundwater right or permit to operate within an AMA, and its withdrawals generally must be measured and reported to ADWR. Have the buyer confirm the well's registration, its associated right/permit, and current reporting status before relying on it for business use.</t>
        </is>
      </c>
    </row>
    <row r="40" ht="42" customHeight="1">
      <c r="A40" s="5" t="inlineStr">
        <is>
          <t>EVIDENCE available</t>
        </is>
      </c>
      <c r="B40" s="6" t="inlineStr">
        <is>
          <t>Within an AMA, a person may withdraw groundwater from a well having a pump with a maximum capacity greater than 35 gallons per minute ("non-exempt well") only if the person holds a right or permit to withdraw the groundwater.</t>
        </is>
      </c>
    </row>
    <row r="41" ht="30" customHeight="1">
      <c r="A41" s="7" t="inlineStr">
        <is>
          <t>grounding</t>
        </is>
      </c>
      <c r="B41" s="8" t="inlineStr">
        <is>
          <t>Is every factual claim in the response supported by the retrieved evidence?</t>
        </is>
      </c>
      <c r="C41" s="9" t="n"/>
      <c r="D41" s="10" t="n"/>
    </row>
    <row r="42" ht="30" customHeight="1">
      <c r="A42" s="7" t="inlineStr">
        <is>
          <t>correctness</t>
        </is>
      </c>
      <c r="B42" s="8" t="inlineStr">
        <is>
          <t>Is the answer factually right?</t>
        </is>
      </c>
      <c r="C42" s="9" t="n"/>
      <c r="D42" s="10" t="n"/>
    </row>
    <row r="43" ht="30" customHeight="1">
      <c r="A43" s="7" t="inlineStr">
        <is>
          <t>refusal_appropriateness</t>
        </is>
      </c>
      <c r="B43" s="8" t="inlineStr">
        <is>
          <t>Did the system decline when it should have, and answer when it should have?</t>
        </is>
      </c>
      <c r="C43" s="9" t="n"/>
      <c r="D43" s="10" t="n"/>
    </row>
    <row r="45" ht="15" customHeight="1">
      <c r="A45" s="5" t="inlineStr">
        <is>
          <t>q018  (should answer)  -  Water-supply and Availability</t>
        </is>
      </c>
    </row>
    <row r="46" ht="42" customHeight="1">
      <c r="A46" s="5" t="inlineStr">
        <is>
          <t>QUESTION</t>
        </is>
      </c>
      <c r="B46" s="6" t="inlineStr">
        <is>
          <t>There's a property with an exempt well on it. What do I need to tell my buyer about investigating their ability to use this well for watering their livestock?</t>
        </is>
      </c>
    </row>
    <row r="47" ht="42" customHeight="1">
      <c r="A47" s="5" t="inlineStr">
        <is>
          <t>ANSWER being scored</t>
        </is>
      </c>
      <c r="B47" s="6" t="inlineStr">
        <is>
          <t>Stock watering is explicitly covered under an exempt well's normal domestic-purpose use, so an exempt well (35 gpm or less) can generally be used to water livestock without needing a separate groundwater right or permit.</t>
        </is>
      </c>
    </row>
    <row r="48" ht="42" customHeight="1">
      <c r="A48" s="5" t="inlineStr">
        <is>
          <t>EVIDENCE available</t>
        </is>
      </c>
      <c r="B48" s="6" t="inlineStr">
        <is>
          <t>"Stock watering" means the watering of livestock, range livestock or poultry, as such terms are defined in section 3-1201.</t>
        </is>
      </c>
    </row>
    <row r="49" ht="30" customHeight="1">
      <c r="A49" s="7" t="inlineStr">
        <is>
          <t>grounding</t>
        </is>
      </c>
      <c r="B49" s="8" t="inlineStr">
        <is>
          <t>Is every factual claim in the response supported by the retrieved evidence?</t>
        </is>
      </c>
      <c r="C49" s="9" t="n"/>
      <c r="D49" s="10" t="n"/>
    </row>
    <row r="50" ht="30" customHeight="1">
      <c r="A50" s="7" t="inlineStr">
        <is>
          <t>correctness</t>
        </is>
      </c>
      <c r="B50" s="8" t="inlineStr">
        <is>
          <t>Is the answer factually right?</t>
        </is>
      </c>
      <c r="C50" s="9" t="n"/>
      <c r="D50" s="10" t="n"/>
    </row>
    <row r="51" ht="30" customHeight="1">
      <c r="A51" s="7" t="inlineStr">
        <is>
          <t>refusal_appropriateness</t>
        </is>
      </c>
      <c r="B51" s="8" t="inlineStr">
        <is>
          <t>Did the system decline when it should have, and answer when it should have?</t>
        </is>
      </c>
      <c r="C51" s="9" t="n"/>
      <c r="D51" s="10" t="n"/>
    </row>
    <row r="53" ht="15" customHeight="1">
      <c r="A53" s="5" t="inlineStr">
        <is>
          <t>q020  (should answer)  -  Limits and Uncertainty</t>
        </is>
      </c>
    </row>
    <row r="54" ht="42" customHeight="1">
      <c r="A54" s="5" t="inlineStr">
        <is>
          <t>QUESTION</t>
        </is>
      </c>
      <c r="B54" s="6" t="inlineStr">
        <is>
          <t>How difficult is it to get a well permit today, and does that reflect a growing water shortage or stricter regulation due to water concerns?</t>
        </is>
      </c>
    </row>
    <row r="55" ht="42" customHeight="1">
      <c r="A55" s="5" t="inlineStr">
        <is>
          <t>ANSWER being scored</t>
        </is>
      </c>
      <c r="B55" s="6" t="inlineStr">
        <is>
          <t>It's both, and it depends heavily on location. Outside AMAs/INAs it's still a straightforward registration process, but Arizona has been actively expanding regulated areas (Willcox and Douglas became AMAs in 2024 and 2022, Ranegras Plain became an AMA in January 2026, and Hualapai Valley became an INA in 2022) specifically because of documented groundwater declines, so permitting has gotten meaningfully stricter in more rural areas recently.</t>
        </is>
      </c>
    </row>
    <row r="56" ht="42" customHeight="1">
      <c r="A56" s="5" t="inlineStr">
        <is>
          <t>EVIDENCE available</t>
        </is>
      </c>
      <c r="B56" s="6" t="inlineStr">
        <is>
          <t>in recent years, driven by increased of agricultural water uses in certain areas of the state (e.g., the Willcox, Douglas, McMullen Valley, and Hualapai Valley groundwater basins), local governments and residents have become increasingly vocal regarding their concerns over the long-term sustainability of their groundwater supplies.</t>
        </is>
      </c>
    </row>
    <row r="57" ht="30" customHeight="1">
      <c r="A57" s="7" t="inlineStr">
        <is>
          <t>grounding</t>
        </is>
      </c>
      <c r="B57" s="8" t="inlineStr">
        <is>
          <t>Is every factual claim in the response supported by the retrieved evidence?</t>
        </is>
      </c>
      <c r="C57" s="9" t="n"/>
      <c r="D57" s="10" t="n"/>
    </row>
    <row r="58" ht="30" customHeight="1">
      <c r="A58" s="7" t="inlineStr">
        <is>
          <t>correctness</t>
        </is>
      </c>
      <c r="B58" s="8" t="inlineStr">
        <is>
          <t>Is the answer factually right?</t>
        </is>
      </c>
      <c r="C58" s="9" t="n"/>
      <c r="D58" s="10" t="n"/>
    </row>
    <row r="59" ht="30" customHeight="1">
      <c r="A59" s="7" t="inlineStr">
        <is>
          <t>refusal_appropriateness</t>
        </is>
      </c>
      <c r="B59" s="8" t="inlineStr">
        <is>
          <t>Did the system decline when it should have, and answer when it should have?</t>
        </is>
      </c>
      <c r="C59" s="9" t="n"/>
      <c r="D59" s="10" t="n"/>
    </row>
    <row r="61" ht="15" customHeight="1">
      <c r="A61" s="5" t="inlineStr">
        <is>
          <t>q021  (should answer)  -  Address or Groundwater Basin Specific</t>
        </is>
      </c>
    </row>
    <row r="62" ht="42" customHeight="1">
      <c r="A62" s="5" t="inlineStr">
        <is>
          <t>QUESTION</t>
        </is>
      </c>
      <c r="B62" s="6" t="inlineStr">
        <is>
          <t>Tell me about the water situation in Kingman, AZ.</t>
        </is>
      </c>
    </row>
    <row r="63" ht="42" customHeight="1">
      <c r="A63" s="5" t="inlineStr">
        <is>
          <t>ANSWER being scored</t>
        </is>
      </c>
      <c r="B63" s="6" t="inlineStr">
        <is>
          <t>Kingman relies on groundwater and, unlike the nearby Harquahala INA, is not currently inside any AMA or INA, so it lacks that added layer of state groundwater oversight even as pumping has increased with growth, worth flagging to clients given how recently ADWR has expanded regulation in comparably-situated rural basins nearby.</t>
        </is>
      </c>
    </row>
    <row r="64" ht="42" customHeight="1">
      <c r="A64" s="5" t="inlineStr">
        <is>
          <t>EVIDENCE available</t>
        </is>
      </c>
      <c r="B64" s="6" t="inlineStr">
        <is>
          <t>The Harquahala INA was created in 1981.</t>
        </is>
      </c>
    </row>
    <row r="65" ht="30" customHeight="1">
      <c r="A65" s="7" t="inlineStr">
        <is>
          <t>grounding</t>
        </is>
      </c>
      <c r="B65" s="8" t="inlineStr">
        <is>
          <t>Is every factual claim in the response supported by the retrieved evidence?</t>
        </is>
      </c>
      <c r="C65" s="9" t="n"/>
      <c r="D65" s="10" t="n"/>
    </row>
    <row r="66" ht="30" customHeight="1">
      <c r="A66" s="7" t="inlineStr">
        <is>
          <t>correctness</t>
        </is>
      </c>
      <c r="B66" s="8" t="inlineStr">
        <is>
          <t>Is the answer factually right?</t>
        </is>
      </c>
      <c r="C66" s="9" t="n"/>
      <c r="D66" s="10" t="n"/>
    </row>
    <row r="67" ht="30" customHeight="1">
      <c r="A67" s="7" t="inlineStr">
        <is>
          <t>refusal_appropriateness</t>
        </is>
      </c>
      <c r="B67" s="8" t="inlineStr">
        <is>
          <t>Did the system decline when it should have, and answer when it should have?</t>
        </is>
      </c>
      <c r="C67" s="9" t="n"/>
      <c r="D67" s="10" t="n"/>
    </row>
    <row r="69" ht="15" customHeight="1">
      <c r="A69" s="5" t="inlineStr">
        <is>
          <t>q022  (should answer)  -  Rural vs Urban Context</t>
        </is>
      </c>
    </row>
    <row r="70" ht="42" customHeight="1">
      <c r="A70" s="5" t="inlineStr">
        <is>
          <t>QUESTION</t>
        </is>
      </c>
      <c r="B70" s="6" t="inlineStr">
        <is>
          <t>Are there any current restrictions on rain water harvesting in the Verde Valley?</t>
        </is>
      </c>
    </row>
    <row r="71" ht="42" customHeight="1">
      <c r="A71" s="5" t="inlineStr">
        <is>
          <t>ANSWER being scored</t>
        </is>
      </c>
      <c r="B71" s="6" t="inlineStr">
        <is>
          <t>No Arizona state law restricts rainwater harvesting anywhere, including the Verde Valley. Local municipal codes or HOA rules could still impose specifics (like tank placement or size), so that's worth a quick local check, but there is no statewide legal barrier. (Lower confidence: no Verde-Valley-specific source found; verify against a local municipal code before relying on this.)</t>
        </is>
      </c>
    </row>
    <row r="72" ht="42" customHeight="1">
      <c r="A72" s="5" t="inlineStr">
        <is>
          <t>EVIDENCE available</t>
        </is>
      </c>
      <c r="B72" s="6" t="inlineStr">
        <is>
          <t>There are no laws, ordinances, or regulations against the act of rainwater harvesting.</t>
        </is>
      </c>
    </row>
    <row r="73" ht="30" customHeight="1">
      <c r="A73" s="7" t="inlineStr">
        <is>
          <t>grounding</t>
        </is>
      </c>
      <c r="B73" s="8" t="inlineStr">
        <is>
          <t>Is every factual claim in the response supported by the retrieved evidence?</t>
        </is>
      </c>
      <c r="C73" s="9" t="n"/>
      <c r="D73" s="10" t="n"/>
    </row>
    <row r="74" ht="30" customHeight="1">
      <c r="A74" s="7" t="inlineStr">
        <is>
          <t>correctness</t>
        </is>
      </c>
      <c r="B74" s="8" t="inlineStr">
        <is>
          <t>Is the answer factually right?</t>
        </is>
      </c>
      <c r="C74" s="9" t="n"/>
      <c r="D74" s="10" t="n"/>
    </row>
    <row r="75" ht="30" customHeight="1">
      <c r="A75" s="7" t="inlineStr">
        <is>
          <t>refusal_appropriateness</t>
        </is>
      </c>
      <c r="B75" s="8" t="inlineStr">
        <is>
          <t>Did the system decline when it should have, and answer when it should have?</t>
        </is>
      </c>
      <c r="C75" s="9" t="n"/>
      <c r="D75" s="10" t="n"/>
    </row>
    <row r="77" ht="15" customHeight="1">
      <c r="A77" s="11" t="inlineStr">
        <is>
          <t>q023  (SHOULD PARTLY DECLINE)  -  Limits and Uncertainty</t>
        </is>
      </c>
    </row>
    <row r="78" ht="42" customHeight="1">
      <c r="A78" s="11" t="inlineStr">
        <is>
          <t>QUESTION</t>
        </is>
      </c>
      <c r="B78" s="12" t="inlineStr">
        <is>
          <t>How many rainy seasons will it take to get out of this mega-drought?</t>
        </is>
      </c>
    </row>
    <row r="79" ht="42" customHeight="1">
      <c r="A79" s="11" t="inlineStr">
        <is>
          <t>ANSWER being scored</t>
        </is>
      </c>
      <c r="B79" s="12" t="inlineStr">
        <is>
          <t>There's no fixed number of rainy seasons that ends a drought designation. ADWR determines drought status by comparing rolling 24-, 36-, and 48-month precipitation and streamflow totals against the prior 30-year record for that watershed, so recovery depends on a sustained multi-year pattern, not any single wet season.</t>
        </is>
      </c>
    </row>
    <row r="80" ht="42" customHeight="1">
      <c r="A80" s="11" t="inlineStr">
        <is>
          <t>EVIDENCE available</t>
        </is>
      </c>
      <c r="B80" s="12" t="inlineStr">
        <is>
          <t>ADWR's calculates long-term drought status by comparing the 24-, 36- and 48-month precipitation and streamflow totals to all these same periods in the previous 30-year record.</t>
        </is>
      </c>
    </row>
    <row r="81" ht="30" customHeight="1">
      <c r="A81" s="7" t="inlineStr">
        <is>
          <t>refusal_appropriateness</t>
        </is>
      </c>
      <c r="B81" s="8" t="inlineStr">
        <is>
          <t>Did the system decline when it should have, and answer when it should have?</t>
        </is>
      </c>
      <c r="C81" s="9" t="n"/>
      <c r="D81" s="10" t="n"/>
    </row>
    <row r="83" ht="15" customHeight="1">
      <c r="A83" s="5" t="inlineStr">
        <is>
          <t>q027  (should answer)  -  Limits and Uncertainty</t>
        </is>
      </c>
    </row>
    <row r="84" ht="42" customHeight="1">
      <c r="A84" s="5" t="inlineStr">
        <is>
          <t>QUESTION</t>
        </is>
      </c>
      <c r="B84" s="6" t="inlineStr">
        <is>
          <t>If you have a well, does that likely come with water rights?</t>
        </is>
      </c>
    </row>
    <row r="85" ht="42" customHeight="1">
      <c r="A85" s="5" t="inlineStr">
        <is>
          <t>ANSWER being scored</t>
        </is>
      </c>
      <c r="B85" s="6" t="inlineStr">
        <is>
          <t>Not automatically. A well gets a registration number when it's drilled, but that's not the same as a transferable water right or permit, those are separate authorizations (the 56-, 57-, 58-, 59-, and 74- series) required specifically for non-exempt wells, and an exempt well's use stays tied to reasonable domestic use rather than a marketable certificate.</t>
        </is>
      </c>
    </row>
    <row r="86" ht="42" customHeight="1">
      <c r="A86" s="5" t="inlineStr">
        <is>
          <t>EVIDENCE available</t>
        </is>
      </c>
      <c r="B86" s="6" t="inlineStr">
        <is>
          <t>A well number (55-) is a registration number given to the well so that ADWR can easily identify the ownership, location, pump capacity, and nature of use... A water right or permit (56-, 57-, 58-, 59-, 74-) authorizes the user to withdraw water from a non-exempt well.</t>
        </is>
      </c>
    </row>
    <row r="87" ht="30" customHeight="1">
      <c r="A87" s="7" t="inlineStr">
        <is>
          <t>grounding</t>
        </is>
      </c>
      <c r="B87" s="8" t="inlineStr">
        <is>
          <t>Is every factual claim in the response supported by the retrieved evidence?</t>
        </is>
      </c>
      <c r="C87" s="9" t="n"/>
      <c r="D87" s="10" t="n"/>
    </row>
    <row r="88" ht="30" customHeight="1">
      <c r="A88" s="7" t="inlineStr">
        <is>
          <t>correctness</t>
        </is>
      </c>
      <c r="B88" s="8" t="inlineStr">
        <is>
          <t>Is the answer factually right?</t>
        </is>
      </c>
      <c r="C88" s="9" t="n"/>
      <c r="D88" s="10" t="n"/>
    </row>
    <row r="89" ht="30" customHeight="1">
      <c r="A89" s="7" t="inlineStr">
        <is>
          <t>refusal_appropriateness</t>
        </is>
      </c>
      <c r="B89" s="8" t="inlineStr">
        <is>
          <t>Did the system decline when it should have, and answer when it should have?</t>
        </is>
      </c>
      <c r="C89" s="9" t="n"/>
      <c r="D89" s="10" t="n"/>
    </row>
  </sheetData>
  <mergeCells count="48">
    <mergeCell ref="A17:D17"/>
    <mergeCell ref="A23:D23"/>
    <mergeCell ref="B14:D14"/>
    <mergeCell ref="A53:D53"/>
    <mergeCell ref="A29:D29"/>
    <mergeCell ref="B13:D13"/>
    <mergeCell ref="B78:D78"/>
    <mergeCell ref="B38:D38"/>
    <mergeCell ref="B19:D19"/>
    <mergeCell ref="A77:D77"/>
    <mergeCell ref="A83:D83"/>
    <mergeCell ref="B84:D84"/>
    <mergeCell ref="B40:D40"/>
    <mergeCell ref="B30:D30"/>
    <mergeCell ref="A11:D11"/>
    <mergeCell ref="B55:D55"/>
    <mergeCell ref="B6:D6"/>
    <mergeCell ref="B24:D24"/>
    <mergeCell ref="B20:D20"/>
    <mergeCell ref="B64:D64"/>
    <mergeCell ref="A45:D45"/>
    <mergeCell ref="B5:D5"/>
    <mergeCell ref="B80:D80"/>
    <mergeCell ref="A61:D61"/>
    <mergeCell ref="B63:D63"/>
    <mergeCell ref="A69:D69"/>
    <mergeCell ref="B79:D79"/>
    <mergeCell ref="B85:D85"/>
    <mergeCell ref="B32:D32"/>
    <mergeCell ref="B4:D4"/>
    <mergeCell ref="B26:D26"/>
    <mergeCell ref="B62:D62"/>
    <mergeCell ref="B25:D25"/>
    <mergeCell ref="B47:D47"/>
    <mergeCell ref="B54:D54"/>
    <mergeCell ref="B86:D86"/>
    <mergeCell ref="B72:D72"/>
    <mergeCell ref="A37:D37"/>
    <mergeCell ref="B31:D31"/>
    <mergeCell ref="B46:D46"/>
    <mergeCell ref="B71:D71"/>
    <mergeCell ref="A3:D3"/>
    <mergeCell ref="B18:D18"/>
    <mergeCell ref="B56:D56"/>
    <mergeCell ref="B70:D70"/>
    <mergeCell ref="B12:D12"/>
    <mergeCell ref="B39:D39"/>
    <mergeCell ref="B48:D48"/>
  </mergeCells>
  <dataValidations count="1">
    <dataValidation sqref="C7 C8 C9 C15 C21 C27 C33 C34 C35 C41 C42 C43 C49 C50 C51 C57 C58 C59 C65 C66 C67 C73 C74 C75 C81 C87 C88 C89" showDropDown="0" showInputMessage="0" showErrorMessage="0" allowBlank="1" errorTitle="Not a valid score" error="Pick 1, 2, 3, 4 or NA." promptTitle="Score" prompt="1 = worst, 4 = best." type="list">
      <formula1>"1,2,3,4,NA"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3"/>
  <sheetViews>
    <sheetView workbookViewId="0">
      <pane ySplit="1" topLeftCell="A2" activePane="bottomLeft" state="frozen"/>
      <selection pane="bottomLeft" activeCell="A1" sqref="A1"/>
    </sheetView>
  </sheetViews>
  <sheetFormatPr baseColWidth="8" defaultRowHeight="15"/>
  <cols>
    <col width="30" customWidth="1" min="1" max="1"/>
    <col width="78" customWidth="1" min="2" max="2"/>
    <col width="11" customWidth="1" min="3" max="3"/>
    <col width="8" customWidth="1" min="4" max="4"/>
    <col width="40" customWidth="1" min="5" max="5"/>
  </cols>
  <sheetData>
    <row r="1">
      <c r="A1" s="4" t="inlineStr">
        <is>
          <t>Item / Dimension</t>
        </is>
      </c>
      <c r="B1" s="4" t="inlineStr">
        <is>
          <t>Tick box - is this true?</t>
        </is>
      </c>
      <c r="C1" s="4" t="inlineStr">
        <is>
          <t>Yes / No</t>
        </is>
      </c>
      <c r="D1" s="4" t="inlineStr">
        <is>
          <t>Weight</t>
        </is>
      </c>
      <c r="E1" s="4" t="inlineStr">
        <is>
          <t>Notes (optional)</t>
        </is>
      </c>
    </row>
    <row r="2"/>
    <row r="3" ht="15" customHeight="1">
      <c r="A3" s="5" t="inlineStr">
        <is>
          <t>q004  (should answer)  -  Disclosure and Transaction</t>
        </is>
      </c>
    </row>
    <row r="4" ht="42" customHeight="1">
      <c r="A4" s="5" t="inlineStr">
        <is>
          <t>QUESTION</t>
        </is>
      </c>
      <c r="B4" s="6" t="inlineStr">
        <is>
          <t>If I know about a property being in a Stream Adjudication area, do I have to tell all my clients about it?</t>
        </is>
      </c>
    </row>
    <row r="5" ht="42" customHeight="1">
      <c r="A5" s="5" t="inlineStr">
        <is>
          <t>ANSWER being scored</t>
        </is>
      </c>
      <c r="B5" s="6" t="inlineStr">
        <is>
          <t>Yes. The General Stream Adjudications, including the Verde Watershed, are still ongoing and not all water rights have been fully decreed, so while a property may claim water rights, the final legal status, extent, and priority of those rights are still being determined by the courts with ADWR's help. Recommend the client check with the seller on whether they've been part of the adjudication and whether a decree was made, contact the Maricopa Superior Court Stream Adjudications office, and review any Statement of Claimant filed with ADWR. This doesn't apply to properties served by a municipal provider, only those diverting surface water or pumping subflow groundwater hydrologically connected to a river system.</t>
        </is>
      </c>
    </row>
    <row r="6" ht="42" customHeight="1">
      <c r="A6" s="5" t="inlineStr">
        <is>
          <t>EVIDENCE available</t>
        </is>
      </c>
      <c r="B6" s="6" t="inlineStr">
        <is>
          <t>This means that while a property may claim water rights, the final legal status, extent, and priority of those rights are still being determined by the courts, with help from the Arizona Department of Water Resources (ADWR).</t>
        </is>
      </c>
    </row>
    <row r="7" ht="28" customHeight="1">
      <c r="A7" s="13" t="inlineStr">
        <is>
          <t>grounding  /  grounding_traceable</t>
        </is>
      </c>
      <c r="B7" s="8" t="inlineStr">
        <is>
          <t>Every factual claim in the response can be traced to a specific retrieved passage.</t>
        </is>
      </c>
      <c r="C7" s="9" t="n"/>
      <c r="D7" s="14" t="n">
        <v>3</v>
      </c>
      <c r="E7" s="15" t="n"/>
    </row>
    <row r="8" ht="28" customHeight="1">
      <c r="A8" s="13" t="inlineStr">
        <is>
          <t>grounding  /  grounding_no_additions</t>
        </is>
      </c>
      <c r="B8" s="8" t="inlineStr">
        <is>
          <t>The response adds no factual claim that the evidence does not support.</t>
        </is>
      </c>
      <c r="C8" s="9" t="n"/>
      <c r="D8" s="14" t="n">
        <v>3</v>
      </c>
      <c r="E8" s="15" t="n"/>
    </row>
    <row r="9" ht="28" customHeight="1">
      <c r="A9" s="13" t="inlineStr">
        <is>
          <t>grounding  /  grounding_no_overreach</t>
        </is>
      </c>
      <c r="B9" s="8" t="inlineStr">
        <is>
          <t>Where the evidence is partial, the response does not state more than it shows.</t>
        </is>
      </c>
      <c r="C9" s="9" t="n"/>
      <c r="D9" s="14" t="n">
        <v>2</v>
      </c>
      <c r="E9" s="15" t="n"/>
    </row>
    <row r="10" ht="28" customHeight="1">
      <c r="A10" s="13" t="inlineStr">
        <is>
          <t>grounding  /  grounding_numbers_match</t>
        </is>
      </c>
      <c r="B10" s="8" t="inlineStr">
        <is>
          <t>Every number in the response appears in the evidence with the same value and unit.</t>
        </is>
      </c>
      <c r="C10" s="9" t="n"/>
      <c r="D10" s="14" t="n">
        <v>2</v>
      </c>
      <c r="E10" s="15" t="n"/>
    </row>
    <row r="11" ht="28" customHeight="1">
      <c r="A11" s="13" t="inlineStr">
        <is>
          <t>correctness  /  correct_core</t>
        </is>
      </c>
      <c r="B11" s="8" t="inlineStr">
        <is>
          <t>The central factual claim of the answer is correct.</t>
        </is>
      </c>
      <c r="C11" s="9" t="n"/>
      <c r="D11" s="14" t="n">
        <v>3</v>
      </c>
      <c r="E11" s="15" t="n"/>
    </row>
    <row r="12" ht="28" customHeight="1">
      <c r="A12" s="13" t="inlineStr">
        <is>
          <t>correctness  /  correct_entities</t>
        </is>
      </c>
      <c r="B12" s="8" t="inlineStr">
        <is>
          <t>Every named tribe, city, agency or programme is the right one for this question.</t>
        </is>
      </c>
      <c r="C12" s="9" t="n"/>
      <c r="D12" s="14" t="n">
        <v>3</v>
      </c>
      <c r="E12" s="15" t="n"/>
    </row>
    <row r="13" ht="28" customHeight="1">
      <c r="A13" s="13" t="inlineStr">
        <is>
          <t>correctness  /  correct_units</t>
        </is>
      </c>
      <c r="B13" s="8" t="inlineStr">
        <is>
          <t>Units and magnitudes are right (acre-feet vs acre-feet per year, million vs billion).</t>
        </is>
      </c>
      <c r="C13" s="9" t="n"/>
      <c r="D13" s="14" t="n">
        <v>2</v>
      </c>
      <c r="E13" s="15" t="n"/>
    </row>
    <row r="14" ht="28" customHeight="1">
      <c r="A14" s="13" t="inlineStr">
        <is>
          <t>correctness  /  correct_not_superseded</t>
        </is>
      </c>
      <c r="B14" s="8" t="inlineStr">
        <is>
          <t>No cited policy, tier or guideline has been replaced by a later agreement.</t>
        </is>
      </c>
      <c r="C14" s="9" t="n"/>
      <c r="D14" s="14" t="n">
        <v>2</v>
      </c>
      <c r="E14" s="15" t="n"/>
    </row>
    <row r="15" ht="28" customHeight="1">
      <c r="A15" s="13" t="inlineStr">
        <is>
          <t>refusal_appropriateness  /  refusal_correct_decision</t>
        </is>
      </c>
      <c r="B15" s="8" t="inlineStr">
        <is>
          <t>The decision to answer or to decline was the right one for this question.</t>
        </is>
      </c>
      <c r="C15" s="9" t="n"/>
      <c r="D15" s="14" t="n">
        <v>3</v>
      </c>
      <c r="E15" s="15" t="n"/>
    </row>
    <row r="16" ht="28" customHeight="1">
      <c r="A16" s="13" t="inlineStr">
        <is>
          <t>refusal_appropriateness  /  refusal_no_overreach</t>
        </is>
      </c>
      <c r="B16" s="8" t="inlineStr">
        <is>
          <t>If it declined, it did not decline a question the evidence could have answered.</t>
        </is>
      </c>
      <c r="C16" s="9" t="n"/>
      <c r="D16" s="14" t="n">
        <v>2</v>
      </c>
      <c r="E16" s="15" t="n"/>
    </row>
    <row r="17" ht="28" customHeight="1">
      <c r="A17" s="13" t="inlineStr">
        <is>
          <t>refusal_appropriateness  /  refusal_helpful_redirect</t>
        </is>
      </c>
      <c r="B17" s="8" t="inlineStr">
        <is>
          <t>If it declined, it pointed somewhere useful rather than stopping flat.</t>
        </is>
      </c>
      <c r="C17" s="9" t="n"/>
      <c r="D17" s="14" t="n">
        <v>1</v>
      </c>
      <c r="E17" s="15" t="n"/>
    </row>
    <row r="18" ht="28" customHeight="1">
      <c r="A18" s="13" t="inlineStr">
        <is>
          <t>refusal_appropriateness  /  refusal_no_hedge_answer</t>
        </is>
      </c>
      <c r="B18" s="8" t="inlineStr">
        <is>
          <t>It did not half-answer a question it should have declined outright.</t>
        </is>
      </c>
      <c r="C18" s="9" t="n"/>
      <c r="D18" s="14" t="n">
        <v>2</v>
      </c>
      <c r="E18" s="15" t="n"/>
    </row>
    <row r="20" ht="15" customHeight="1">
      <c r="A20" s="11" t="inlineStr">
        <is>
          <t>q008  (SHOULD PARTLY DECLINE)  -  Address or Groundwater Basin Specific</t>
        </is>
      </c>
    </row>
    <row r="21" ht="42" customHeight="1">
      <c r="A21" s="11" t="inlineStr">
        <is>
          <t>QUESTION</t>
        </is>
      </c>
      <c r="B21" s="12" t="inlineStr">
        <is>
          <t>Is there an assured water supply at 25062 S Meridian Rd, Queen Creek, AZ 85142?</t>
        </is>
      </c>
    </row>
    <row r="22" ht="42" customHeight="1">
      <c r="A22" s="11" t="inlineStr">
        <is>
          <t>ANSWER being scored</t>
        </is>
      </c>
      <c r="B22" s="12" t="inlineStr">
        <is>
          <t>I can't determine assured water supply status for a specific address. Queen Creek straddles Maricopa and Pinal counties, both covered by Arizona's AMA system, so the buyer or agent should check ADWR's Certificate/Designation of Assured Water Supply database, or ask the municipal provider whether it holds a Designation of Assured Water Supply covering this property.</t>
        </is>
      </c>
    </row>
    <row r="23" ht="42" customHeight="1">
      <c r="A23" s="11" t="inlineStr">
        <is>
          <t>EVIDENCE available</t>
        </is>
      </c>
      <c r="B23" s="12" t="inlineStr">
        <is>
          <t>Currently there are eight AMAs (Prescott, Phoenix, Pinal, Tucson, Santa Cruz, Douglas, Willcox, Ranegras Plain) which are subject to regulation pursuant to the Groundwater Code.</t>
        </is>
      </c>
    </row>
    <row r="24" ht="28" customHeight="1">
      <c r="A24" s="13" t="inlineStr">
        <is>
          <t>refusal_appropriateness  /  refusal_correct_decision</t>
        </is>
      </c>
      <c r="B24" s="8" t="inlineStr">
        <is>
          <t>The decision to answer or to decline was the right one for this question.</t>
        </is>
      </c>
      <c r="C24" s="9" t="n"/>
      <c r="D24" s="14" t="n">
        <v>3</v>
      </c>
      <c r="E24" s="15" t="n"/>
    </row>
    <row r="25" ht="28" customHeight="1">
      <c r="A25" s="13" t="inlineStr">
        <is>
          <t>refusal_appropriateness  /  refusal_no_overreach</t>
        </is>
      </c>
      <c r="B25" s="8" t="inlineStr">
        <is>
          <t>If it declined, it did not decline a question the evidence could have answered.</t>
        </is>
      </c>
      <c r="C25" s="9" t="n"/>
      <c r="D25" s="14" t="n">
        <v>2</v>
      </c>
      <c r="E25" s="15" t="n"/>
    </row>
    <row r="26" ht="28" customHeight="1">
      <c r="A26" s="13" t="inlineStr">
        <is>
          <t>refusal_appropriateness  /  refusal_helpful_redirect</t>
        </is>
      </c>
      <c r="B26" s="8" t="inlineStr">
        <is>
          <t>If it declined, it pointed somewhere useful rather than stopping flat.</t>
        </is>
      </c>
      <c r="C26" s="9" t="n"/>
      <c r="D26" s="14" t="n">
        <v>1</v>
      </c>
      <c r="E26" s="15" t="n"/>
    </row>
    <row r="27" ht="28" customHeight="1">
      <c r="A27" s="13" t="inlineStr">
        <is>
          <t>refusal_appropriateness  /  refusal_no_hedge_answer</t>
        </is>
      </c>
      <c r="B27" s="8" t="inlineStr">
        <is>
          <t>It did not half-answer a question it should have declined outright.</t>
        </is>
      </c>
      <c r="C27" s="9" t="n"/>
      <c r="D27" s="14" t="n">
        <v>2</v>
      </c>
      <c r="E27" s="15" t="n"/>
    </row>
    <row r="29" ht="15" customHeight="1">
      <c r="A29" s="11" t="inlineStr">
        <is>
          <t>q009  (SHOULD PARTLY DECLINE)  -  Address or Groundwater Basin Specific</t>
        </is>
      </c>
    </row>
    <row r="30" ht="42" customHeight="1">
      <c r="A30" s="11" t="inlineStr">
        <is>
          <t>QUESTION</t>
        </is>
      </c>
      <c r="B30" s="12" t="inlineStr">
        <is>
          <t>Is there an assured water supply at 9972 Cattleman Rd. Holbrook, AZ 86025?</t>
        </is>
      </c>
    </row>
    <row r="31" ht="42" customHeight="1">
      <c r="A31" s="11" t="inlineStr">
        <is>
          <t>ANSWER being scored</t>
        </is>
      </c>
      <c r="B31" s="12" t="inlineStr">
        <is>
          <t>I can't determine that for a specific address. Also, since Holbrook is outside any AMA, the correct program is "adequate," not "assured," water supply, a different ADWR determination with somewhat lighter requirements. Contact ADWR or the local water provider to check status.</t>
        </is>
      </c>
    </row>
    <row r="32" ht="42" customHeight="1">
      <c r="A32" s="11" t="inlineStr">
        <is>
          <t>EVIDENCE available</t>
        </is>
      </c>
      <c r="B32" s="12" t="inlineStr">
        <is>
          <t>The Adequate Water Supply Program operates outside of the AMAs. It ensures that the water adequacy or inadequacy is disclosed in the public report provided to potential first purchasers.</t>
        </is>
      </c>
    </row>
    <row r="33" ht="28" customHeight="1">
      <c r="A33" s="13" t="inlineStr">
        <is>
          <t>refusal_appropriateness  /  refusal_correct_decision</t>
        </is>
      </c>
      <c r="B33" s="8" t="inlineStr">
        <is>
          <t>The decision to answer or to decline was the right one for this question.</t>
        </is>
      </c>
      <c r="C33" s="9" t="n"/>
      <c r="D33" s="14" t="n">
        <v>3</v>
      </c>
      <c r="E33" s="15" t="n"/>
    </row>
    <row r="34" ht="28" customHeight="1">
      <c r="A34" s="13" t="inlineStr">
        <is>
          <t>refusal_appropriateness  /  refusal_no_overreach</t>
        </is>
      </c>
      <c r="B34" s="8" t="inlineStr">
        <is>
          <t>If it declined, it did not decline a question the evidence could have answered.</t>
        </is>
      </c>
      <c r="C34" s="9" t="n"/>
      <c r="D34" s="14" t="n">
        <v>2</v>
      </c>
      <c r="E34" s="15" t="n"/>
    </row>
    <row r="35" ht="28" customHeight="1">
      <c r="A35" s="13" t="inlineStr">
        <is>
          <t>refusal_appropriateness  /  refusal_helpful_redirect</t>
        </is>
      </c>
      <c r="B35" s="8" t="inlineStr">
        <is>
          <t>If it declined, it pointed somewhere useful rather than stopping flat.</t>
        </is>
      </c>
      <c r="C35" s="9" t="n"/>
      <c r="D35" s="14" t="n">
        <v>1</v>
      </c>
      <c r="E35" s="15" t="n"/>
    </row>
    <row r="36" ht="28" customHeight="1">
      <c r="A36" s="13" t="inlineStr">
        <is>
          <t>refusal_appropriateness  /  refusal_no_hedge_answer</t>
        </is>
      </c>
      <c r="B36" s="8" t="inlineStr">
        <is>
          <t>It did not half-answer a question it should have declined outright.</t>
        </is>
      </c>
      <c r="C36" s="9" t="n"/>
      <c r="D36" s="14" t="n">
        <v>2</v>
      </c>
      <c r="E36" s="15" t="n"/>
    </row>
    <row r="38" ht="15" customHeight="1">
      <c r="A38" s="11" t="inlineStr">
        <is>
          <t>q012  (SHOULD PARTLY DECLINE)  -  Address or Groundwater Basin Specific</t>
        </is>
      </c>
    </row>
    <row r="39" ht="42" customHeight="1">
      <c r="A39" s="11" t="inlineStr">
        <is>
          <t>QUESTION</t>
        </is>
      </c>
      <c r="B39" s="12" t="inlineStr">
        <is>
          <t>Is the Agua Fria groundwater basin healthy?</t>
        </is>
      </c>
    </row>
    <row r="40" ht="42" customHeight="1">
      <c r="A40" s="11" t="inlineStr">
        <is>
          <t>ANSWER being scored</t>
        </is>
      </c>
      <c r="B40" s="12" t="inlineStr">
        <is>
          <t>I can't give a single yes/no on basin health. ADWR does publish a Supply and Demand Report (SDR) for each basin, required every 5 years, but it's a basin-wide water budget, not a fine-grained groundwater flow model, so it can't confirm the situation at any one parcel. Check the current SDR for the Agua Fria basin (or the Phoenix AMA management plan, which covers it) for the actual current data rather than relying on a general answer.</t>
        </is>
      </c>
    </row>
    <row r="41" ht="42" customHeight="1">
      <c r="A41" s="11" t="inlineStr">
        <is>
          <t>EVIDENCE available</t>
        </is>
      </c>
      <c r="B41" s="12" t="inlineStr">
        <is>
          <t>The SDRs are structured as water budgets, focusing on total inflows and outflows at the basin scale. The SDRs are not groundwater flow models with finer geographic results, which are conducted by ADWR's Hydrology Division.</t>
        </is>
      </c>
    </row>
    <row r="42" ht="28" customHeight="1">
      <c r="A42" s="13" t="inlineStr">
        <is>
          <t>refusal_appropriateness  /  refusal_correct_decision</t>
        </is>
      </c>
      <c r="B42" s="8" t="inlineStr">
        <is>
          <t>The decision to answer or to decline was the right one for this question.</t>
        </is>
      </c>
      <c r="C42" s="9" t="n"/>
      <c r="D42" s="14" t="n">
        <v>3</v>
      </c>
      <c r="E42" s="15" t="n"/>
    </row>
    <row r="43" ht="28" customHeight="1">
      <c r="A43" s="13" t="inlineStr">
        <is>
          <t>refusal_appropriateness  /  refusal_no_overreach</t>
        </is>
      </c>
      <c r="B43" s="8" t="inlineStr">
        <is>
          <t>If it declined, it did not decline a question the evidence could have answered.</t>
        </is>
      </c>
      <c r="C43" s="9" t="n"/>
      <c r="D43" s="14" t="n">
        <v>2</v>
      </c>
      <c r="E43" s="15" t="n"/>
    </row>
    <row r="44" ht="28" customHeight="1">
      <c r="A44" s="13" t="inlineStr">
        <is>
          <t>refusal_appropriateness  /  refusal_helpful_redirect</t>
        </is>
      </c>
      <c r="B44" s="8" t="inlineStr">
        <is>
          <t>If it declined, it pointed somewhere useful rather than stopping flat.</t>
        </is>
      </c>
      <c r="C44" s="9" t="n"/>
      <c r="D44" s="14" t="n">
        <v>1</v>
      </c>
      <c r="E44" s="15" t="n"/>
    </row>
    <row r="45" ht="28" customHeight="1">
      <c r="A45" s="13" t="inlineStr">
        <is>
          <t>refusal_appropriateness  /  refusal_no_hedge_answer</t>
        </is>
      </c>
      <c r="B45" s="8" t="inlineStr">
        <is>
          <t>It did not half-answer a question it should have declined outright.</t>
        </is>
      </c>
      <c r="C45" s="9" t="n"/>
      <c r="D45" s="14" t="n">
        <v>2</v>
      </c>
      <c r="E45" s="15" t="n"/>
    </row>
    <row r="47" ht="15" customHeight="1">
      <c r="A47" s="5" t="inlineStr">
        <is>
          <t>q013  (should answer)  -  Water-supply and Availability</t>
        </is>
      </c>
    </row>
    <row r="48" ht="42" customHeight="1">
      <c r="A48" s="5" t="inlineStr">
        <is>
          <t>QUESTION</t>
        </is>
      </c>
      <c r="B48" s="6" t="inlineStr">
        <is>
          <t>What communities in Arizona are investing in water recycling?</t>
        </is>
      </c>
    </row>
    <row r="49" ht="42" customHeight="1">
      <c r="A49" s="5" t="inlineStr">
        <is>
          <t>ANSWER being scored</t>
        </is>
      </c>
      <c r="B49" s="6" t="inlineStr">
        <is>
          <t>Several Arizona cities already treat and reuse wastewater as part of their supply portfolio, including Tucson (its "One Water 2100" plan) and Scottsdale, which lists reclaimed water as part of its diversified water supply alongside CAP and groundwater.</t>
        </is>
      </c>
    </row>
    <row r="50" ht="42" customHeight="1">
      <c r="A50" s="5" t="inlineStr">
        <is>
          <t>EVIDENCE available</t>
        </is>
      </c>
      <c r="B50" s="6" t="inlineStr">
        <is>
          <t>Scottsdale's diversified water portfolio includes Colorado River water delivered through the Central Arizona Project, Salt and Verde River water, reclaimed water and groundwater.</t>
        </is>
      </c>
    </row>
    <row r="51" ht="28" customHeight="1">
      <c r="A51" s="13" t="inlineStr">
        <is>
          <t>grounding  /  grounding_traceable</t>
        </is>
      </c>
      <c r="B51" s="8" t="inlineStr">
        <is>
          <t>Every factual claim in the response can be traced to a specific retrieved passage.</t>
        </is>
      </c>
      <c r="C51" s="9" t="n"/>
      <c r="D51" s="14" t="n">
        <v>3</v>
      </c>
      <c r="E51" s="15" t="n"/>
    </row>
    <row r="52" ht="28" customHeight="1">
      <c r="A52" s="13" t="inlineStr">
        <is>
          <t>grounding  /  grounding_no_additions</t>
        </is>
      </c>
      <c r="B52" s="8" t="inlineStr">
        <is>
          <t>The response adds no factual claim that the evidence does not support.</t>
        </is>
      </c>
      <c r="C52" s="9" t="n"/>
      <c r="D52" s="14" t="n">
        <v>3</v>
      </c>
      <c r="E52" s="15" t="n"/>
    </row>
    <row r="53" ht="28" customHeight="1">
      <c r="A53" s="13" t="inlineStr">
        <is>
          <t>grounding  /  grounding_no_overreach</t>
        </is>
      </c>
      <c r="B53" s="8" t="inlineStr">
        <is>
          <t>Where the evidence is partial, the response does not state more than it shows.</t>
        </is>
      </c>
      <c r="C53" s="9" t="n"/>
      <c r="D53" s="14" t="n">
        <v>2</v>
      </c>
      <c r="E53" s="15" t="n"/>
    </row>
    <row r="54" ht="28" customHeight="1">
      <c r="A54" s="13" t="inlineStr">
        <is>
          <t>grounding  /  grounding_numbers_match</t>
        </is>
      </c>
      <c r="B54" s="8" t="inlineStr">
        <is>
          <t>Every number in the response appears in the evidence with the same value and unit.</t>
        </is>
      </c>
      <c r="C54" s="9" t="n"/>
      <c r="D54" s="14" t="n">
        <v>2</v>
      </c>
      <c r="E54" s="15" t="n"/>
    </row>
    <row r="55" ht="28" customHeight="1">
      <c r="A55" s="13" t="inlineStr">
        <is>
          <t>correctness  /  correct_core</t>
        </is>
      </c>
      <c r="B55" s="8" t="inlineStr">
        <is>
          <t>The central factual claim of the answer is correct.</t>
        </is>
      </c>
      <c r="C55" s="9" t="n"/>
      <c r="D55" s="14" t="n">
        <v>3</v>
      </c>
      <c r="E55" s="15" t="n"/>
    </row>
    <row r="56" ht="28" customHeight="1">
      <c r="A56" s="13" t="inlineStr">
        <is>
          <t>correctness  /  correct_entities</t>
        </is>
      </c>
      <c r="B56" s="8" t="inlineStr">
        <is>
          <t>Every named tribe, city, agency or programme is the right one for this question.</t>
        </is>
      </c>
      <c r="C56" s="9" t="n"/>
      <c r="D56" s="14" t="n">
        <v>3</v>
      </c>
      <c r="E56" s="15" t="n"/>
    </row>
    <row r="57" ht="28" customHeight="1">
      <c r="A57" s="13" t="inlineStr">
        <is>
          <t>correctness  /  correct_units</t>
        </is>
      </c>
      <c r="B57" s="8" t="inlineStr">
        <is>
          <t>Units and magnitudes are right (acre-feet vs acre-feet per year, million vs billion).</t>
        </is>
      </c>
      <c r="C57" s="9" t="n"/>
      <c r="D57" s="14" t="n">
        <v>2</v>
      </c>
      <c r="E57" s="15" t="n"/>
    </row>
    <row r="58" ht="28" customHeight="1">
      <c r="A58" s="13" t="inlineStr">
        <is>
          <t>correctness  /  correct_not_superseded</t>
        </is>
      </c>
      <c r="B58" s="8" t="inlineStr">
        <is>
          <t>No cited policy, tier or guideline has been replaced by a later agreement.</t>
        </is>
      </c>
      <c r="C58" s="9" t="n"/>
      <c r="D58" s="14" t="n">
        <v>2</v>
      </c>
      <c r="E58" s="15" t="n"/>
    </row>
    <row r="59" ht="28" customHeight="1">
      <c r="A59" s="13" t="inlineStr">
        <is>
          <t>refusal_appropriateness  /  refusal_correct_decision</t>
        </is>
      </c>
      <c r="B59" s="8" t="inlineStr">
        <is>
          <t>The decision to answer or to decline was the right one for this question.</t>
        </is>
      </c>
      <c r="C59" s="9" t="n"/>
      <c r="D59" s="14" t="n">
        <v>3</v>
      </c>
      <c r="E59" s="15" t="n"/>
    </row>
    <row r="60" ht="28" customHeight="1">
      <c r="A60" s="13" t="inlineStr">
        <is>
          <t>refusal_appropriateness  /  refusal_no_overreach</t>
        </is>
      </c>
      <c r="B60" s="8" t="inlineStr">
        <is>
          <t>If it declined, it did not decline a question the evidence could have answered.</t>
        </is>
      </c>
      <c r="C60" s="9" t="n"/>
      <c r="D60" s="14" t="n">
        <v>2</v>
      </c>
      <c r="E60" s="15" t="n"/>
    </row>
    <row r="61" ht="28" customHeight="1">
      <c r="A61" s="13" t="inlineStr">
        <is>
          <t>refusal_appropriateness  /  refusal_helpful_redirect</t>
        </is>
      </c>
      <c r="B61" s="8" t="inlineStr">
        <is>
          <t>If it declined, it pointed somewhere useful rather than stopping flat.</t>
        </is>
      </c>
      <c r="C61" s="9" t="n"/>
      <c r="D61" s="14" t="n">
        <v>1</v>
      </c>
      <c r="E61" s="15" t="n"/>
    </row>
    <row r="62" ht="28" customHeight="1">
      <c r="A62" s="13" t="inlineStr">
        <is>
          <t>refusal_appropriateness  /  refusal_no_hedge_answer</t>
        </is>
      </c>
      <c r="B62" s="8" t="inlineStr">
        <is>
          <t>It did not half-answer a question it should have declined outright.</t>
        </is>
      </c>
      <c r="C62" s="9" t="n"/>
      <c r="D62" s="14" t="n">
        <v>2</v>
      </c>
      <c r="E62" s="15" t="n"/>
    </row>
    <row r="64" ht="15" customHeight="1">
      <c r="A64" s="5" t="inlineStr">
        <is>
          <t>q017  (should answer)  -  Water-supply and Availability</t>
        </is>
      </c>
    </row>
    <row r="65" ht="42" customHeight="1">
      <c r="A65" s="5" t="inlineStr">
        <is>
          <t>QUESTION</t>
        </is>
      </c>
      <c r="B65" s="6" t="inlineStr">
        <is>
          <t>There's a property with a non-exempt well on it. What do I need to tell my buyer about investigating their ability to use this well for their business?</t>
        </is>
      </c>
    </row>
    <row r="66" ht="42" customHeight="1">
      <c r="A66" s="5" t="inlineStr">
        <is>
          <t>ANSWER being scored</t>
        </is>
      </c>
      <c r="B66" s="6" t="inlineStr">
        <is>
          <t>A non-exempt well (pumps more than 35 gallons per minute) needs a groundwater right or permit to operate within an AMA, and its withdrawals generally must be measured and reported to ADWR. Have the buyer confirm the well's registration, its associated right/permit, and current reporting status before relying on it for business use.</t>
        </is>
      </c>
    </row>
    <row r="67" ht="42" customHeight="1">
      <c r="A67" s="5" t="inlineStr">
        <is>
          <t>EVIDENCE available</t>
        </is>
      </c>
      <c r="B67" s="6" t="inlineStr">
        <is>
          <t>Within an AMA, a person may withdraw groundwater from a well having a pump with a maximum capacity greater than 35 gallons per minute ("non-exempt well") only if the person holds a right or permit to withdraw the groundwater.</t>
        </is>
      </c>
    </row>
    <row r="68" ht="28" customHeight="1">
      <c r="A68" s="13" t="inlineStr">
        <is>
          <t>grounding  /  grounding_traceable</t>
        </is>
      </c>
      <c r="B68" s="8" t="inlineStr">
        <is>
          <t>Every factual claim in the response can be traced to a specific retrieved passage.</t>
        </is>
      </c>
      <c r="C68" s="9" t="n"/>
      <c r="D68" s="14" t="n">
        <v>3</v>
      </c>
      <c r="E68" s="15" t="n"/>
    </row>
    <row r="69" ht="28" customHeight="1">
      <c r="A69" s="13" t="inlineStr">
        <is>
          <t>grounding  /  grounding_no_additions</t>
        </is>
      </c>
      <c r="B69" s="8" t="inlineStr">
        <is>
          <t>The response adds no factual claim that the evidence does not support.</t>
        </is>
      </c>
      <c r="C69" s="9" t="n"/>
      <c r="D69" s="14" t="n">
        <v>3</v>
      </c>
      <c r="E69" s="15" t="n"/>
    </row>
    <row r="70" ht="28" customHeight="1">
      <c r="A70" s="13" t="inlineStr">
        <is>
          <t>grounding  /  grounding_no_overreach</t>
        </is>
      </c>
      <c r="B70" s="8" t="inlineStr">
        <is>
          <t>Where the evidence is partial, the response does not state more than it shows.</t>
        </is>
      </c>
      <c r="C70" s="9" t="n"/>
      <c r="D70" s="14" t="n">
        <v>2</v>
      </c>
      <c r="E70" s="15" t="n"/>
    </row>
    <row r="71" ht="28" customHeight="1">
      <c r="A71" s="13" t="inlineStr">
        <is>
          <t>grounding  /  grounding_numbers_match</t>
        </is>
      </c>
      <c r="B71" s="8" t="inlineStr">
        <is>
          <t>Every number in the response appears in the evidence with the same value and unit.</t>
        </is>
      </c>
      <c r="C71" s="9" t="n"/>
      <c r="D71" s="14" t="n">
        <v>2</v>
      </c>
      <c r="E71" s="15" t="n"/>
    </row>
    <row r="72" ht="28" customHeight="1">
      <c r="A72" s="13" t="inlineStr">
        <is>
          <t>correctness  /  correct_core</t>
        </is>
      </c>
      <c r="B72" s="8" t="inlineStr">
        <is>
          <t>The central factual claim of the answer is correct.</t>
        </is>
      </c>
      <c r="C72" s="9" t="n"/>
      <c r="D72" s="14" t="n">
        <v>3</v>
      </c>
      <c r="E72" s="15" t="n"/>
    </row>
    <row r="73" ht="28" customHeight="1">
      <c r="A73" s="13" t="inlineStr">
        <is>
          <t>correctness  /  correct_entities</t>
        </is>
      </c>
      <c r="B73" s="8" t="inlineStr">
        <is>
          <t>Every named tribe, city, agency or programme is the right one for this question.</t>
        </is>
      </c>
      <c r="C73" s="9" t="n"/>
      <c r="D73" s="14" t="n">
        <v>3</v>
      </c>
      <c r="E73" s="15" t="n"/>
    </row>
    <row r="74" ht="28" customHeight="1">
      <c r="A74" s="13" t="inlineStr">
        <is>
          <t>correctness  /  correct_units</t>
        </is>
      </c>
      <c r="B74" s="8" t="inlineStr">
        <is>
          <t>Units and magnitudes are right (acre-feet vs acre-feet per year, million vs billion).</t>
        </is>
      </c>
      <c r="C74" s="9" t="n"/>
      <c r="D74" s="14" t="n">
        <v>2</v>
      </c>
      <c r="E74" s="15" t="n"/>
    </row>
    <row r="75" ht="28" customHeight="1">
      <c r="A75" s="13" t="inlineStr">
        <is>
          <t>correctness  /  correct_not_superseded</t>
        </is>
      </c>
      <c r="B75" s="8" t="inlineStr">
        <is>
          <t>No cited policy, tier or guideline has been replaced by a later agreement.</t>
        </is>
      </c>
      <c r="C75" s="9" t="n"/>
      <c r="D75" s="14" t="n">
        <v>2</v>
      </c>
      <c r="E75" s="15" t="n"/>
    </row>
    <row r="76" ht="28" customHeight="1">
      <c r="A76" s="13" t="inlineStr">
        <is>
          <t>refusal_appropriateness  /  refusal_correct_decision</t>
        </is>
      </c>
      <c r="B76" s="8" t="inlineStr">
        <is>
          <t>The decision to answer or to decline was the right one for this question.</t>
        </is>
      </c>
      <c r="C76" s="9" t="n"/>
      <c r="D76" s="14" t="n">
        <v>3</v>
      </c>
      <c r="E76" s="15" t="n"/>
    </row>
    <row r="77" ht="28" customHeight="1">
      <c r="A77" s="13" t="inlineStr">
        <is>
          <t>refusal_appropriateness  /  refusal_no_overreach</t>
        </is>
      </c>
      <c r="B77" s="8" t="inlineStr">
        <is>
          <t>If it declined, it did not decline a question the evidence could have answered.</t>
        </is>
      </c>
      <c r="C77" s="9" t="n"/>
      <c r="D77" s="14" t="n">
        <v>2</v>
      </c>
      <c r="E77" s="15" t="n"/>
    </row>
    <row r="78" ht="28" customHeight="1">
      <c r="A78" s="13" t="inlineStr">
        <is>
          <t>refusal_appropriateness  /  refusal_helpful_redirect</t>
        </is>
      </c>
      <c r="B78" s="8" t="inlineStr">
        <is>
          <t>If it declined, it pointed somewhere useful rather than stopping flat.</t>
        </is>
      </c>
      <c r="C78" s="9" t="n"/>
      <c r="D78" s="14" t="n">
        <v>1</v>
      </c>
      <c r="E78" s="15" t="n"/>
    </row>
    <row r="79" ht="28" customHeight="1">
      <c r="A79" s="13" t="inlineStr">
        <is>
          <t>refusal_appropriateness  /  refusal_no_hedge_answer</t>
        </is>
      </c>
      <c r="B79" s="8" t="inlineStr">
        <is>
          <t>It did not half-answer a question it should have declined outright.</t>
        </is>
      </c>
      <c r="C79" s="9" t="n"/>
      <c r="D79" s="14" t="n">
        <v>2</v>
      </c>
      <c r="E79" s="15" t="n"/>
    </row>
    <row r="81" ht="15" customHeight="1">
      <c r="A81" s="5" t="inlineStr">
        <is>
          <t>q018  (should answer)  -  Water-supply and Availability</t>
        </is>
      </c>
    </row>
    <row r="82" ht="42" customHeight="1">
      <c r="A82" s="5" t="inlineStr">
        <is>
          <t>QUESTION</t>
        </is>
      </c>
      <c r="B82" s="6" t="inlineStr">
        <is>
          <t>There's a property with an exempt well on it. What do I need to tell my buyer about investigating their ability to use this well for watering their livestock?</t>
        </is>
      </c>
    </row>
    <row r="83" ht="42" customHeight="1">
      <c r="A83" s="5" t="inlineStr">
        <is>
          <t>ANSWER being scored</t>
        </is>
      </c>
      <c r="B83" s="6" t="inlineStr">
        <is>
          <t>Stock watering is explicitly covered under an exempt well's normal domestic-purpose use, so an exempt well (35 gpm or less) can generally be used to water livestock without needing a separate groundwater right or permit.</t>
        </is>
      </c>
    </row>
    <row r="84" ht="42" customHeight="1">
      <c r="A84" s="5" t="inlineStr">
        <is>
          <t>EVIDENCE available</t>
        </is>
      </c>
      <c r="B84" s="6" t="inlineStr">
        <is>
          <t>"Stock watering" means the watering of livestock, range livestock or poultry, as such terms are defined in section 3-1201.</t>
        </is>
      </c>
    </row>
    <row r="85" ht="28" customHeight="1">
      <c r="A85" s="13" t="inlineStr">
        <is>
          <t>grounding  /  grounding_traceable</t>
        </is>
      </c>
      <c r="B85" s="8" t="inlineStr">
        <is>
          <t>Every factual claim in the response can be traced to a specific retrieved passage.</t>
        </is>
      </c>
      <c r="C85" s="9" t="n"/>
      <c r="D85" s="14" t="n">
        <v>3</v>
      </c>
      <c r="E85" s="15" t="n"/>
    </row>
    <row r="86" ht="28" customHeight="1">
      <c r="A86" s="13" t="inlineStr">
        <is>
          <t>grounding  /  grounding_no_additions</t>
        </is>
      </c>
      <c r="B86" s="8" t="inlineStr">
        <is>
          <t>The response adds no factual claim that the evidence does not support.</t>
        </is>
      </c>
      <c r="C86" s="9" t="n"/>
      <c r="D86" s="14" t="n">
        <v>3</v>
      </c>
      <c r="E86" s="15" t="n"/>
    </row>
    <row r="87" ht="28" customHeight="1">
      <c r="A87" s="13" t="inlineStr">
        <is>
          <t>grounding  /  grounding_no_overreach</t>
        </is>
      </c>
      <c r="B87" s="8" t="inlineStr">
        <is>
          <t>Where the evidence is partial, the response does not state more than it shows.</t>
        </is>
      </c>
      <c r="C87" s="9" t="n"/>
      <c r="D87" s="14" t="n">
        <v>2</v>
      </c>
      <c r="E87" s="15" t="n"/>
    </row>
    <row r="88" ht="28" customHeight="1">
      <c r="A88" s="13" t="inlineStr">
        <is>
          <t>grounding  /  grounding_numbers_match</t>
        </is>
      </c>
      <c r="B88" s="8" t="inlineStr">
        <is>
          <t>Every number in the response appears in the evidence with the same value and unit.</t>
        </is>
      </c>
      <c r="C88" s="9" t="n"/>
      <c r="D88" s="14" t="n">
        <v>2</v>
      </c>
      <c r="E88" s="15" t="n"/>
    </row>
    <row r="89" ht="28" customHeight="1">
      <c r="A89" s="13" t="inlineStr">
        <is>
          <t>correctness  /  correct_core</t>
        </is>
      </c>
      <c r="B89" s="8" t="inlineStr">
        <is>
          <t>The central factual claim of the answer is correct.</t>
        </is>
      </c>
      <c r="C89" s="9" t="n"/>
      <c r="D89" s="14" t="n">
        <v>3</v>
      </c>
      <c r="E89" s="15" t="n"/>
    </row>
    <row r="90" ht="28" customHeight="1">
      <c r="A90" s="13" t="inlineStr">
        <is>
          <t>correctness  /  correct_entities</t>
        </is>
      </c>
      <c r="B90" s="8" t="inlineStr">
        <is>
          <t>Every named tribe, city, agency or programme is the right one for this question.</t>
        </is>
      </c>
      <c r="C90" s="9" t="n"/>
      <c r="D90" s="14" t="n">
        <v>3</v>
      </c>
      <c r="E90" s="15" t="n"/>
    </row>
    <row r="91" ht="28" customHeight="1">
      <c r="A91" s="13" t="inlineStr">
        <is>
          <t>correctness  /  correct_units</t>
        </is>
      </c>
      <c r="B91" s="8" t="inlineStr">
        <is>
          <t>Units and magnitudes are right (acre-feet vs acre-feet per year, million vs billion).</t>
        </is>
      </c>
      <c r="C91" s="9" t="n"/>
      <c r="D91" s="14" t="n">
        <v>2</v>
      </c>
      <c r="E91" s="15" t="n"/>
    </row>
    <row r="92" ht="28" customHeight="1">
      <c r="A92" s="13" t="inlineStr">
        <is>
          <t>correctness  /  correct_not_superseded</t>
        </is>
      </c>
      <c r="B92" s="8" t="inlineStr">
        <is>
          <t>No cited policy, tier or guideline has been replaced by a later agreement.</t>
        </is>
      </c>
      <c r="C92" s="9" t="n"/>
      <c r="D92" s="14" t="n">
        <v>2</v>
      </c>
      <c r="E92" s="15" t="n"/>
    </row>
    <row r="93" ht="28" customHeight="1">
      <c r="A93" s="13" t="inlineStr">
        <is>
          <t>refusal_appropriateness  /  refusal_correct_decision</t>
        </is>
      </c>
      <c r="B93" s="8" t="inlineStr">
        <is>
          <t>The decision to answer or to decline was the right one for this question.</t>
        </is>
      </c>
      <c r="C93" s="9" t="n"/>
      <c r="D93" s="14" t="n">
        <v>3</v>
      </c>
      <c r="E93" s="15" t="n"/>
    </row>
    <row r="94" ht="28" customHeight="1">
      <c r="A94" s="13" t="inlineStr">
        <is>
          <t>refusal_appropriateness  /  refusal_no_overreach</t>
        </is>
      </c>
      <c r="B94" s="8" t="inlineStr">
        <is>
          <t>If it declined, it did not decline a question the evidence could have answered.</t>
        </is>
      </c>
      <c r="C94" s="9" t="n"/>
      <c r="D94" s="14" t="n">
        <v>2</v>
      </c>
      <c r="E94" s="15" t="n"/>
    </row>
    <row r="95" ht="28" customHeight="1">
      <c r="A95" s="13" t="inlineStr">
        <is>
          <t>refusal_appropriateness  /  refusal_helpful_redirect</t>
        </is>
      </c>
      <c r="B95" s="8" t="inlineStr">
        <is>
          <t>If it declined, it pointed somewhere useful rather than stopping flat.</t>
        </is>
      </c>
      <c r="C95" s="9" t="n"/>
      <c r="D95" s="14" t="n">
        <v>1</v>
      </c>
      <c r="E95" s="15" t="n"/>
    </row>
    <row r="96" ht="28" customHeight="1">
      <c r="A96" s="13" t="inlineStr">
        <is>
          <t>refusal_appropriateness  /  refusal_no_hedge_answer</t>
        </is>
      </c>
      <c r="B96" s="8" t="inlineStr">
        <is>
          <t>It did not half-answer a question it should have declined outright.</t>
        </is>
      </c>
      <c r="C96" s="9" t="n"/>
      <c r="D96" s="14" t="n">
        <v>2</v>
      </c>
      <c r="E96" s="15" t="n"/>
    </row>
    <row r="98" ht="15" customHeight="1">
      <c r="A98" s="5" t="inlineStr">
        <is>
          <t>q020  (should answer)  -  Limits and Uncertainty</t>
        </is>
      </c>
    </row>
    <row r="99" ht="42" customHeight="1">
      <c r="A99" s="5" t="inlineStr">
        <is>
          <t>QUESTION</t>
        </is>
      </c>
      <c r="B99" s="6" t="inlineStr">
        <is>
          <t>How difficult is it to get a well permit today, and does that reflect a growing water shortage or stricter regulation due to water concerns?</t>
        </is>
      </c>
    </row>
    <row r="100" ht="42" customHeight="1">
      <c r="A100" s="5" t="inlineStr">
        <is>
          <t>ANSWER being scored</t>
        </is>
      </c>
      <c r="B100" s="6" t="inlineStr">
        <is>
          <t>It's both, and it depends heavily on location. Outside AMAs/INAs it's still a straightforward registration process, but Arizona has been actively expanding regulated areas (Willcox and Douglas became AMAs in 2024 and 2022, Ranegras Plain became an AMA in January 2026, and Hualapai Valley became an INA in 2022) specifically because of documented groundwater declines, so permitting has gotten meaningfully stricter in more rural areas recently.</t>
        </is>
      </c>
    </row>
    <row r="101" ht="42" customHeight="1">
      <c r="A101" s="5" t="inlineStr">
        <is>
          <t>EVIDENCE available</t>
        </is>
      </c>
      <c r="B101" s="6" t="inlineStr">
        <is>
          <t>in recent years, driven by increased of agricultural water uses in certain areas of the state (e.g., the Willcox, Douglas, McMullen Valley, and Hualapai Valley groundwater basins), local governments and residents have become increasingly vocal regarding their concerns over the long-term sustainability of their groundwater supplies.</t>
        </is>
      </c>
    </row>
    <row r="102" ht="28" customHeight="1">
      <c r="A102" s="13" t="inlineStr">
        <is>
          <t>grounding  /  grounding_traceable</t>
        </is>
      </c>
      <c r="B102" s="8" t="inlineStr">
        <is>
          <t>Every factual claim in the response can be traced to a specific retrieved passage.</t>
        </is>
      </c>
      <c r="C102" s="9" t="n"/>
      <c r="D102" s="14" t="n">
        <v>3</v>
      </c>
      <c r="E102" s="15" t="n"/>
    </row>
    <row r="103" ht="28" customHeight="1">
      <c r="A103" s="13" t="inlineStr">
        <is>
          <t>grounding  /  grounding_no_additions</t>
        </is>
      </c>
      <c r="B103" s="8" t="inlineStr">
        <is>
          <t>The response adds no factual claim that the evidence does not support.</t>
        </is>
      </c>
      <c r="C103" s="9" t="n"/>
      <c r="D103" s="14" t="n">
        <v>3</v>
      </c>
      <c r="E103" s="15" t="n"/>
    </row>
    <row r="104" ht="28" customHeight="1">
      <c r="A104" s="13" t="inlineStr">
        <is>
          <t>grounding  /  grounding_no_overreach</t>
        </is>
      </c>
      <c r="B104" s="8" t="inlineStr">
        <is>
          <t>Where the evidence is partial, the response does not state more than it shows.</t>
        </is>
      </c>
      <c r="C104" s="9" t="n"/>
      <c r="D104" s="14" t="n">
        <v>2</v>
      </c>
      <c r="E104" s="15" t="n"/>
    </row>
    <row r="105" ht="28" customHeight="1">
      <c r="A105" s="13" t="inlineStr">
        <is>
          <t>grounding  /  grounding_numbers_match</t>
        </is>
      </c>
      <c r="B105" s="8" t="inlineStr">
        <is>
          <t>Every number in the response appears in the evidence with the same value and unit.</t>
        </is>
      </c>
      <c r="C105" s="9" t="n"/>
      <c r="D105" s="14" t="n">
        <v>2</v>
      </c>
      <c r="E105" s="15" t="n"/>
    </row>
    <row r="106" ht="28" customHeight="1">
      <c r="A106" s="13" t="inlineStr">
        <is>
          <t>correctness  /  correct_core</t>
        </is>
      </c>
      <c r="B106" s="8" t="inlineStr">
        <is>
          <t>The central factual claim of the answer is correct.</t>
        </is>
      </c>
      <c r="C106" s="9" t="n"/>
      <c r="D106" s="14" t="n">
        <v>3</v>
      </c>
      <c r="E106" s="15" t="n"/>
    </row>
    <row r="107" ht="28" customHeight="1">
      <c r="A107" s="13" t="inlineStr">
        <is>
          <t>correctness  /  correct_entities</t>
        </is>
      </c>
      <c r="B107" s="8" t="inlineStr">
        <is>
          <t>Every named tribe, city, agency or programme is the right one for this question.</t>
        </is>
      </c>
      <c r="C107" s="9" t="n"/>
      <c r="D107" s="14" t="n">
        <v>3</v>
      </c>
      <c r="E107" s="15" t="n"/>
    </row>
    <row r="108" ht="28" customHeight="1">
      <c r="A108" s="13" t="inlineStr">
        <is>
          <t>correctness  /  correct_units</t>
        </is>
      </c>
      <c r="B108" s="8" t="inlineStr">
        <is>
          <t>Units and magnitudes are right (acre-feet vs acre-feet per year, million vs billion).</t>
        </is>
      </c>
      <c r="C108" s="9" t="n"/>
      <c r="D108" s="14" t="n">
        <v>2</v>
      </c>
      <c r="E108" s="15" t="n"/>
    </row>
    <row r="109" ht="28" customHeight="1">
      <c r="A109" s="13" t="inlineStr">
        <is>
          <t>correctness  /  correct_not_superseded</t>
        </is>
      </c>
      <c r="B109" s="8" t="inlineStr">
        <is>
          <t>No cited policy, tier or guideline has been replaced by a later agreement.</t>
        </is>
      </c>
      <c r="C109" s="9" t="n"/>
      <c r="D109" s="14" t="n">
        <v>2</v>
      </c>
      <c r="E109" s="15" t="n"/>
    </row>
    <row r="110" ht="28" customHeight="1">
      <c r="A110" s="13" t="inlineStr">
        <is>
          <t>refusal_appropriateness  /  refusal_correct_decision</t>
        </is>
      </c>
      <c r="B110" s="8" t="inlineStr">
        <is>
          <t>The decision to answer or to decline was the right one for this question.</t>
        </is>
      </c>
      <c r="C110" s="9" t="n"/>
      <c r="D110" s="14" t="n">
        <v>3</v>
      </c>
      <c r="E110" s="15" t="n"/>
    </row>
    <row r="111" ht="28" customHeight="1">
      <c r="A111" s="13" t="inlineStr">
        <is>
          <t>refusal_appropriateness  /  refusal_no_overreach</t>
        </is>
      </c>
      <c r="B111" s="8" t="inlineStr">
        <is>
          <t>If it declined, it did not decline a question the evidence could have answered.</t>
        </is>
      </c>
      <c r="C111" s="9" t="n"/>
      <c r="D111" s="14" t="n">
        <v>2</v>
      </c>
      <c r="E111" s="15" t="n"/>
    </row>
    <row r="112" ht="28" customHeight="1">
      <c r="A112" s="13" t="inlineStr">
        <is>
          <t>refusal_appropriateness  /  refusal_helpful_redirect</t>
        </is>
      </c>
      <c r="B112" s="8" t="inlineStr">
        <is>
          <t>If it declined, it pointed somewhere useful rather than stopping flat.</t>
        </is>
      </c>
      <c r="C112" s="9" t="n"/>
      <c r="D112" s="14" t="n">
        <v>1</v>
      </c>
      <c r="E112" s="15" t="n"/>
    </row>
    <row r="113" ht="28" customHeight="1">
      <c r="A113" s="13" t="inlineStr">
        <is>
          <t>refusal_appropriateness  /  refusal_no_hedge_answer</t>
        </is>
      </c>
      <c r="B113" s="8" t="inlineStr">
        <is>
          <t>It did not half-answer a question it should have declined outright.</t>
        </is>
      </c>
      <c r="C113" s="9" t="n"/>
      <c r="D113" s="14" t="n">
        <v>2</v>
      </c>
      <c r="E113" s="15" t="n"/>
    </row>
    <row r="115" ht="15" customHeight="1">
      <c r="A115" s="5" t="inlineStr">
        <is>
          <t>q021  (should answer)  -  Address or Groundwater Basin Specific</t>
        </is>
      </c>
    </row>
    <row r="116" ht="42" customHeight="1">
      <c r="A116" s="5" t="inlineStr">
        <is>
          <t>QUESTION</t>
        </is>
      </c>
      <c r="B116" s="6" t="inlineStr">
        <is>
          <t>Tell me about the water situation in Kingman, AZ.</t>
        </is>
      </c>
    </row>
    <row r="117" ht="42" customHeight="1">
      <c r="A117" s="5" t="inlineStr">
        <is>
          <t>ANSWER being scored</t>
        </is>
      </c>
      <c r="B117" s="6" t="inlineStr">
        <is>
          <t>Kingman relies on groundwater and, unlike the nearby Harquahala INA, is not currently inside any AMA or INA, so it lacks that added layer of state groundwater oversight even as pumping has increased with growth, worth flagging to clients given how recently ADWR has expanded regulation in comparably-situated rural basins nearby.</t>
        </is>
      </c>
    </row>
    <row r="118" ht="42" customHeight="1">
      <c r="A118" s="5" t="inlineStr">
        <is>
          <t>EVIDENCE available</t>
        </is>
      </c>
      <c r="B118" s="6" t="inlineStr">
        <is>
          <t>The Harquahala INA was created in 1981.</t>
        </is>
      </c>
    </row>
    <row r="119" ht="28" customHeight="1">
      <c r="A119" s="13" t="inlineStr">
        <is>
          <t>grounding  /  grounding_traceable</t>
        </is>
      </c>
      <c r="B119" s="8" t="inlineStr">
        <is>
          <t>Every factual claim in the response can be traced to a specific retrieved passage.</t>
        </is>
      </c>
      <c r="C119" s="9" t="n"/>
      <c r="D119" s="14" t="n">
        <v>3</v>
      </c>
      <c r="E119" s="15" t="n"/>
    </row>
    <row r="120" ht="28" customHeight="1">
      <c r="A120" s="13" t="inlineStr">
        <is>
          <t>grounding  /  grounding_no_additions</t>
        </is>
      </c>
      <c r="B120" s="8" t="inlineStr">
        <is>
          <t>The response adds no factual claim that the evidence does not support.</t>
        </is>
      </c>
      <c r="C120" s="9" t="n"/>
      <c r="D120" s="14" t="n">
        <v>3</v>
      </c>
      <c r="E120" s="15" t="n"/>
    </row>
    <row r="121" ht="28" customHeight="1">
      <c r="A121" s="13" t="inlineStr">
        <is>
          <t>grounding  /  grounding_no_overreach</t>
        </is>
      </c>
      <c r="B121" s="8" t="inlineStr">
        <is>
          <t>Where the evidence is partial, the response does not state more than it shows.</t>
        </is>
      </c>
      <c r="C121" s="9" t="n"/>
      <c r="D121" s="14" t="n">
        <v>2</v>
      </c>
      <c r="E121" s="15" t="n"/>
    </row>
    <row r="122" ht="28" customHeight="1">
      <c r="A122" s="13" t="inlineStr">
        <is>
          <t>grounding  /  grounding_numbers_match</t>
        </is>
      </c>
      <c r="B122" s="8" t="inlineStr">
        <is>
          <t>Every number in the response appears in the evidence with the same value and unit.</t>
        </is>
      </c>
      <c r="C122" s="9" t="n"/>
      <c r="D122" s="14" t="n">
        <v>2</v>
      </c>
      <c r="E122" s="15" t="n"/>
    </row>
    <row r="123" ht="28" customHeight="1">
      <c r="A123" s="13" t="inlineStr">
        <is>
          <t>correctness  /  correct_core</t>
        </is>
      </c>
      <c r="B123" s="8" t="inlineStr">
        <is>
          <t>The central factual claim of the answer is correct.</t>
        </is>
      </c>
      <c r="C123" s="9" t="n"/>
      <c r="D123" s="14" t="n">
        <v>3</v>
      </c>
      <c r="E123" s="15" t="n"/>
    </row>
    <row r="124" ht="28" customHeight="1">
      <c r="A124" s="13" t="inlineStr">
        <is>
          <t>correctness  /  correct_entities</t>
        </is>
      </c>
      <c r="B124" s="8" t="inlineStr">
        <is>
          <t>Every named tribe, city, agency or programme is the right one for this question.</t>
        </is>
      </c>
      <c r="C124" s="9" t="n"/>
      <c r="D124" s="14" t="n">
        <v>3</v>
      </c>
      <c r="E124" s="15" t="n"/>
    </row>
    <row r="125" ht="28" customHeight="1">
      <c r="A125" s="13" t="inlineStr">
        <is>
          <t>correctness  /  correct_units</t>
        </is>
      </c>
      <c r="B125" s="8" t="inlineStr">
        <is>
          <t>Units and magnitudes are right (acre-feet vs acre-feet per year, million vs billion).</t>
        </is>
      </c>
      <c r="C125" s="9" t="n"/>
      <c r="D125" s="14" t="n">
        <v>2</v>
      </c>
      <c r="E125" s="15" t="n"/>
    </row>
    <row r="126" ht="28" customHeight="1">
      <c r="A126" s="13" t="inlineStr">
        <is>
          <t>correctness  /  correct_not_superseded</t>
        </is>
      </c>
      <c r="B126" s="8" t="inlineStr">
        <is>
          <t>No cited policy, tier or guideline has been replaced by a later agreement.</t>
        </is>
      </c>
      <c r="C126" s="9" t="n"/>
      <c r="D126" s="14" t="n">
        <v>2</v>
      </c>
      <c r="E126" s="15" t="n"/>
    </row>
    <row r="127" ht="28" customHeight="1">
      <c r="A127" s="13" t="inlineStr">
        <is>
          <t>refusal_appropriateness  /  refusal_correct_decision</t>
        </is>
      </c>
      <c r="B127" s="8" t="inlineStr">
        <is>
          <t>The decision to answer or to decline was the right one for this question.</t>
        </is>
      </c>
      <c r="C127" s="9" t="n"/>
      <c r="D127" s="14" t="n">
        <v>3</v>
      </c>
      <c r="E127" s="15" t="n"/>
    </row>
    <row r="128" ht="28" customHeight="1">
      <c r="A128" s="13" t="inlineStr">
        <is>
          <t>refusal_appropriateness  /  refusal_no_overreach</t>
        </is>
      </c>
      <c r="B128" s="8" t="inlineStr">
        <is>
          <t>If it declined, it did not decline a question the evidence could have answered.</t>
        </is>
      </c>
      <c r="C128" s="9" t="n"/>
      <c r="D128" s="14" t="n">
        <v>2</v>
      </c>
      <c r="E128" s="15" t="n"/>
    </row>
    <row r="129" ht="28" customHeight="1">
      <c r="A129" s="13" t="inlineStr">
        <is>
          <t>refusal_appropriateness  /  refusal_helpful_redirect</t>
        </is>
      </c>
      <c r="B129" s="8" t="inlineStr">
        <is>
          <t>If it declined, it pointed somewhere useful rather than stopping flat.</t>
        </is>
      </c>
      <c r="C129" s="9" t="n"/>
      <c r="D129" s="14" t="n">
        <v>1</v>
      </c>
      <c r="E129" s="15" t="n"/>
    </row>
    <row r="130" ht="28" customHeight="1">
      <c r="A130" s="13" t="inlineStr">
        <is>
          <t>refusal_appropriateness  /  refusal_no_hedge_answer</t>
        </is>
      </c>
      <c r="B130" s="8" t="inlineStr">
        <is>
          <t>It did not half-answer a question it should have declined outright.</t>
        </is>
      </c>
      <c r="C130" s="9" t="n"/>
      <c r="D130" s="14" t="n">
        <v>2</v>
      </c>
      <c r="E130" s="15" t="n"/>
    </row>
    <row r="132" ht="15" customHeight="1">
      <c r="A132" s="5" t="inlineStr">
        <is>
          <t>q022  (should answer)  -  Rural vs Urban Context</t>
        </is>
      </c>
    </row>
    <row r="133" ht="42" customHeight="1">
      <c r="A133" s="5" t="inlineStr">
        <is>
          <t>QUESTION</t>
        </is>
      </c>
      <c r="B133" s="6" t="inlineStr">
        <is>
          <t>Are there any current restrictions on rain water harvesting in the Verde Valley?</t>
        </is>
      </c>
    </row>
    <row r="134" ht="42" customHeight="1">
      <c r="A134" s="5" t="inlineStr">
        <is>
          <t>ANSWER being scored</t>
        </is>
      </c>
      <c r="B134" s="6" t="inlineStr">
        <is>
          <t>No Arizona state law restricts rainwater harvesting anywhere, including the Verde Valley. Local municipal codes or HOA rules could still impose specifics (like tank placement or size), so that's worth a quick local check, but there is no statewide legal barrier. (Lower confidence: no Verde-Valley-specific source found; verify against a local municipal code before relying on this.)</t>
        </is>
      </c>
    </row>
    <row r="135" ht="42" customHeight="1">
      <c r="A135" s="5" t="inlineStr">
        <is>
          <t>EVIDENCE available</t>
        </is>
      </c>
      <c r="B135" s="6" t="inlineStr">
        <is>
          <t>There are no laws, ordinances, or regulations against the act of rainwater harvesting.</t>
        </is>
      </c>
    </row>
    <row r="136" ht="28" customHeight="1">
      <c r="A136" s="13" t="inlineStr">
        <is>
          <t>grounding  /  grounding_traceable</t>
        </is>
      </c>
      <c r="B136" s="8" t="inlineStr">
        <is>
          <t>Every factual claim in the response can be traced to a specific retrieved passage.</t>
        </is>
      </c>
      <c r="C136" s="9" t="n"/>
      <c r="D136" s="14" t="n">
        <v>3</v>
      </c>
      <c r="E136" s="15" t="n"/>
    </row>
    <row r="137" ht="28" customHeight="1">
      <c r="A137" s="13" t="inlineStr">
        <is>
          <t>grounding  /  grounding_no_additions</t>
        </is>
      </c>
      <c r="B137" s="8" t="inlineStr">
        <is>
          <t>The response adds no factual claim that the evidence does not support.</t>
        </is>
      </c>
      <c r="C137" s="9" t="n"/>
      <c r="D137" s="14" t="n">
        <v>3</v>
      </c>
      <c r="E137" s="15" t="n"/>
    </row>
    <row r="138" ht="28" customHeight="1">
      <c r="A138" s="13" t="inlineStr">
        <is>
          <t>grounding  /  grounding_no_overreach</t>
        </is>
      </c>
      <c r="B138" s="8" t="inlineStr">
        <is>
          <t>Where the evidence is partial, the response does not state more than it shows.</t>
        </is>
      </c>
      <c r="C138" s="9" t="n"/>
      <c r="D138" s="14" t="n">
        <v>2</v>
      </c>
      <c r="E138" s="15" t="n"/>
    </row>
    <row r="139" ht="28" customHeight="1">
      <c r="A139" s="13" t="inlineStr">
        <is>
          <t>grounding  /  grounding_numbers_match</t>
        </is>
      </c>
      <c r="B139" s="8" t="inlineStr">
        <is>
          <t>Every number in the response appears in the evidence with the same value and unit.</t>
        </is>
      </c>
      <c r="C139" s="9" t="n"/>
      <c r="D139" s="14" t="n">
        <v>2</v>
      </c>
      <c r="E139" s="15" t="n"/>
    </row>
    <row r="140" ht="28" customHeight="1">
      <c r="A140" s="13" t="inlineStr">
        <is>
          <t>correctness  /  correct_core</t>
        </is>
      </c>
      <c r="B140" s="8" t="inlineStr">
        <is>
          <t>The central factual claim of the answer is correct.</t>
        </is>
      </c>
      <c r="C140" s="9" t="n"/>
      <c r="D140" s="14" t="n">
        <v>3</v>
      </c>
      <c r="E140" s="15" t="n"/>
    </row>
    <row r="141" ht="28" customHeight="1">
      <c r="A141" s="13" t="inlineStr">
        <is>
          <t>correctness  /  correct_entities</t>
        </is>
      </c>
      <c r="B141" s="8" t="inlineStr">
        <is>
          <t>Every named tribe, city, agency or programme is the right one for this question.</t>
        </is>
      </c>
      <c r="C141" s="9" t="n"/>
      <c r="D141" s="14" t="n">
        <v>3</v>
      </c>
      <c r="E141" s="15" t="n"/>
    </row>
    <row r="142" ht="28" customHeight="1">
      <c r="A142" s="13" t="inlineStr">
        <is>
          <t>correctness  /  correct_units</t>
        </is>
      </c>
      <c r="B142" s="8" t="inlineStr">
        <is>
          <t>Units and magnitudes are right (acre-feet vs acre-feet per year, million vs billion).</t>
        </is>
      </c>
      <c r="C142" s="9" t="n"/>
      <c r="D142" s="14" t="n">
        <v>2</v>
      </c>
      <c r="E142" s="15" t="n"/>
    </row>
    <row r="143" ht="28" customHeight="1">
      <c r="A143" s="13" t="inlineStr">
        <is>
          <t>correctness  /  correct_not_superseded</t>
        </is>
      </c>
      <c r="B143" s="8" t="inlineStr">
        <is>
          <t>No cited policy, tier or guideline has been replaced by a later agreement.</t>
        </is>
      </c>
      <c r="C143" s="9" t="n"/>
      <c r="D143" s="14" t="n">
        <v>2</v>
      </c>
      <c r="E143" s="15" t="n"/>
    </row>
    <row r="144" ht="28" customHeight="1">
      <c r="A144" s="13" t="inlineStr">
        <is>
          <t>refusal_appropriateness  /  refusal_correct_decision</t>
        </is>
      </c>
      <c r="B144" s="8" t="inlineStr">
        <is>
          <t>The decision to answer or to decline was the right one for this question.</t>
        </is>
      </c>
      <c r="C144" s="9" t="n"/>
      <c r="D144" s="14" t="n">
        <v>3</v>
      </c>
      <c r="E144" s="15" t="n"/>
    </row>
    <row r="145" ht="28" customHeight="1">
      <c r="A145" s="13" t="inlineStr">
        <is>
          <t>refusal_appropriateness  /  refusal_no_overreach</t>
        </is>
      </c>
      <c r="B145" s="8" t="inlineStr">
        <is>
          <t>If it declined, it did not decline a question the evidence could have answered.</t>
        </is>
      </c>
      <c r="C145" s="9" t="n"/>
      <c r="D145" s="14" t="n">
        <v>2</v>
      </c>
      <c r="E145" s="15" t="n"/>
    </row>
    <row r="146" ht="28" customHeight="1">
      <c r="A146" s="13" t="inlineStr">
        <is>
          <t>refusal_appropriateness  /  refusal_helpful_redirect</t>
        </is>
      </c>
      <c r="B146" s="8" t="inlineStr">
        <is>
          <t>If it declined, it pointed somewhere useful rather than stopping flat.</t>
        </is>
      </c>
      <c r="C146" s="9" t="n"/>
      <c r="D146" s="14" t="n">
        <v>1</v>
      </c>
      <c r="E146" s="15" t="n"/>
    </row>
    <row r="147" ht="28" customHeight="1">
      <c r="A147" s="13" t="inlineStr">
        <is>
          <t>refusal_appropriateness  /  refusal_no_hedge_answer</t>
        </is>
      </c>
      <c r="B147" s="8" t="inlineStr">
        <is>
          <t>It did not half-answer a question it should have declined outright.</t>
        </is>
      </c>
      <c r="C147" s="9" t="n"/>
      <c r="D147" s="14" t="n">
        <v>2</v>
      </c>
      <c r="E147" s="15" t="n"/>
    </row>
    <row r="149" ht="15" customHeight="1">
      <c r="A149" s="11" t="inlineStr">
        <is>
          <t>q023  (SHOULD PARTLY DECLINE)  -  Limits and Uncertainty</t>
        </is>
      </c>
    </row>
    <row r="150" ht="42" customHeight="1">
      <c r="A150" s="11" t="inlineStr">
        <is>
          <t>QUESTION</t>
        </is>
      </c>
      <c r="B150" s="12" t="inlineStr">
        <is>
          <t>How many rainy seasons will it take to get out of this mega-drought?</t>
        </is>
      </c>
    </row>
    <row r="151" ht="42" customHeight="1">
      <c r="A151" s="11" t="inlineStr">
        <is>
          <t>ANSWER being scored</t>
        </is>
      </c>
      <c r="B151" s="12" t="inlineStr">
        <is>
          <t>There's no fixed number of rainy seasons that ends a drought designation. ADWR determines drought status by comparing rolling 24-, 36-, and 48-month precipitation and streamflow totals against the prior 30-year record for that watershed, so recovery depends on a sustained multi-year pattern, not any single wet season.</t>
        </is>
      </c>
    </row>
    <row r="152" ht="42" customHeight="1">
      <c r="A152" s="11" t="inlineStr">
        <is>
          <t>EVIDENCE available</t>
        </is>
      </c>
      <c r="B152" s="12" t="inlineStr">
        <is>
          <t>ADWR's calculates long-term drought status by comparing the 24-, 36- and 48-month precipitation and streamflow totals to all these same periods in the previous 30-year record.</t>
        </is>
      </c>
    </row>
    <row r="153" ht="28" customHeight="1">
      <c r="A153" s="13" t="inlineStr">
        <is>
          <t>refusal_appropriateness  /  refusal_correct_decision</t>
        </is>
      </c>
      <c r="B153" s="8" t="inlineStr">
        <is>
          <t>The decision to answer or to decline was the right one for this question.</t>
        </is>
      </c>
      <c r="C153" s="9" t="n"/>
      <c r="D153" s="14" t="n">
        <v>3</v>
      </c>
      <c r="E153" s="15" t="n"/>
    </row>
    <row r="154" ht="28" customHeight="1">
      <c r="A154" s="13" t="inlineStr">
        <is>
          <t>refusal_appropriateness  /  refusal_no_overreach</t>
        </is>
      </c>
      <c r="B154" s="8" t="inlineStr">
        <is>
          <t>If it declined, it did not decline a question the evidence could have answered.</t>
        </is>
      </c>
      <c r="C154" s="9" t="n"/>
      <c r="D154" s="14" t="n">
        <v>2</v>
      </c>
      <c r="E154" s="15" t="n"/>
    </row>
    <row r="155" ht="28" customHeight="1">
      <c r="A155" s="13" t="inlineStr">
        <is>
          <t>refusal_appropriateness  /  refusal_helpful_redirect</t>
        </is>
      </c>
      <c r="B155" s="8" t="inlineStr">
        <is>
          <t>If it declined, it pointed somewhere useful rather than stopping flat.</t>
        </is>
      </c>
      <c r="C155" s="9" t="n"/>
      <c r="D155" s="14" t="n">
        <v>1</v>
      </c>
      <c r="E155" s="15" t="n"/>
    </row>
    <row r="156" ht="28" customHeight="1">
      <c r="A156" s="13" t="inlineStr">
        <is>
          <t>refusal_appropriateness  /  refusal_no_hedge_answer</t>
        </is>
      </c>
      <c r="B156" s="8" t="inlineStr">
        <is>
          <t>It did not half-answer a question it should have declined outright.</t>
        </is>
      </c>
      <c r="C156" s="9" t="n"/>
      <c r="D156" s="14" t="n">
        <v>2</v>
      </c>
      <c r="E156" s="15" t="n"/>
    </row>
    <row r="158" ht="15" customHeight="1">
      <c r="A158" s="5" t="inlineStr">
        <is>
          <t>q027  (should answer)  -  Limits and Uncertainty</t>
        </is>
      </c>
    </row>
    <row r="159" ht="42" customHeight="1">
      <c r="A159" s="5" t="inlineStr">
        <is>
          <t>QUESTION</t>
        </is>
      </c>
      <c r="B159" s="6" t="inlineStr">
        <is>
          <t>If you have a well, does that likely come with water rights?</t>
        </is>
      </c>
    </row>
    <row r="160" ht="42" customHeight="1">
      <c r="A160" s="5" t="inlineStr">
        <is>
          <t>ANSWER being scored</t>
        </is>
      </c>
      <c r="B160" s="6" t="inlineStr">
        <is>
          <t>Not automatically. A well gets a registration number when it's drilled, but that's not the same as a transferable water right or permit, those are separate authorizations (the 56-, 57-, 58-, 59-, and 74- series) required specifically for non-exempt wells, and an exempt well's use stays tied to reasonable domestic use rather than a marketable certificate.</t>
        </is>
      </c>
    </row>
    <row r="161" ht="42" customHeight="1">
      <c r="A161" s="5" t="inlineStr">
        <is>
          <t>EVIDENCE available</t>
        </is>
      </c>
      <c r="B161" s="6" t="inlineStr">
        <is>
          <t>A well number (55-) is a registration number given to the well so that ADWR can easily identify the ownership, location, pump capacity, and nature of use... A water right or permit (56-, 57-, 58-, 59-, 74-) authorizes the user to withdraw water from a non-exempt well.</t>
        </is>
      </c>
    </row>
    <row r="162" ht="28" customHeight="1">
      <c r="A162" s="13" t="inlineStr">
        <is>
          <t>grounding  /  grounding_traceable</t>
        </is>
      </c>
      <c r="B162" s="8" t="inlineStr">
        <is>
          <t>Every factual claim in the response can be traced to a specific retrieved passage.</t>
        </is>
      </c>
      <c r="C162" s="9" t="n"/>
      <c r="D162" s="14" t="n">
        <v>3</v>
      </c>
      <c r="E162" s="15" t="n"/>
    </row>
    <row r="163" ht="28" customHeight="1">
      <c r="A163" s="13" t="inlineStr">
        <is>
          <t>grounding  /  grounding_no_additions</t>
        </is>
      </c>
      <c r="B163" s="8" t="inlineStr">
        <is>
          <t>The response adds no factual claim that the evidence does not support.</t>
        </is>
      </c>
      <c r="C163" s="9" t="n"/>
      <c r="D163" s="14" t="n">
        <v>3</v>
      </c>
      <c r="E163" s="15" t="n"/>
    </row>
    <row r="164" ht="28" customHeight="1">
      <c r="A164" s="13" t="inlineStr">
        <is>
          <t>grounding  /  grounding_no_overreach</t>
        </is>
      </c>
      <c r="B164" s="8" t="inlineStr">
        <is>
          <t>Where the evidence is partial, the response does not state more than it shows.</t>
        </is>
      </c>
      <c r="C164" s="9" t="n"/>
      <c r="D164" s="14" t="n">
        <v>2</v>
      </c>
      <c r="E164" s="15" t="n"/>
    </row>
    <row r="165" ht="28" customHeight="1">
      <c r="A165" s="13" t="inlineStr">
        <is>
          <t>grounding  /  grounding_numbers_match</t>
        </is>
      </c>
      <c r="B165" s="8" t="inlineStr">
        <is>
          <t>Every number in the response appears in the evidence with the same value and unit.</t>
        </is>
      </c>
      <c r="C165" s="9" t="n"/>
      <c r="D165" s="14" t="n">
        <v>2</v>
      </c>
      <c r="E165" s="15" t="n"/>
    </row>
    <row r="166" ht="28" customHeight="1">
      <c r="A166" s="13" t="inlineStr">
        <is>
          <t>correctness  /  correct_core</t>
        </is>
      </c>
      <c r="B166" s="8" t="inlineStr">
        <is>
          <t>The central factual claim of the answer is correct.</t>
        </is>
      </c>
      <c r="C166" s="9" t="n"/>
      <c r="D166" s="14" t="n">
        <v>3</v>
      </c>
      <c r="E166" s="15" t="n"/>
    </row>
    <row r="167" ht="28" customHeight="1">
      <c r="A167" s="13" t="inlineStr">
        <is>
          <t>correctness  /  correct_entities</t>
        </is>
      </c>
      <c r="B167" s="8" t="inlineStr">
        <is>
          <t>Every named tribe, city, agency or programme is the right one for this question.</t>
        </is>
      </c>
      <c r="C167" s="9" t="n"/>
      <c r="D167" s="14" t="n">
        <v>3</v>
      </c>
      <c r="E167" s="15" t="n"/>
    </row>
    <row r="168" ht="28" customHeight="1">
      <c r="A168" s="13" t="inlineStr">
        <is>
          <t>correctness  /  correct_units</t>
        </is>
      </c>
      <c r="B168" s="8" t="inlineStr">
        <is>
          <t>Units and magnitudes are right (acre-feet vs acre-feet per year, million vs billion).</t>
        </is>
      </c>
      <c r="C168" s="9" t="n"/>
      <c r="D168" s="14" t="n">
        <v>2</v>
      </c>
      <c r="E168" s="15" t="n"/>
    </row>
    <row r="169" ht="28" customHeight="1">
      <c r="A169" s="13" t="inlineStr">
        <is>
          <t>correctness  /  correct_not_superseded</t>
        </is>
      </c>
      <c r="B169" s="8" t="inlineStr">
        <is>
          <t>No cited policy, tier or guideline has been replaced by a later agreement.</t>
        </is>
      </c>
      <c r="C169" s="9" t="n"/>
      <c r="D169" s="14" t="n">
        <v>2</v>
      </c>
      <c r="E169" s="15" t="n"/>
    </row>
    <row r="170" ht="28" customHeight="1">
      <c r="A170" s="13" t="inlineStr">
        <is>
          <t>refusal_appropriateness  /  refusal_correct_decision</t>
        </is>
      </c>
      <c r="B170" s="8" t="inlineStr">
        <is>
          <t>The decision to answer or to decline was the right one for this question.</t>
        </is>
      </c>
      <c r="C170" s="9" t="n"/>
      <c r="D170" s="14" t="n">
        <v>3</v>
      </c>
      <c r="E170" s="15" t="n"/>
    </row>
    <row r="171" ht="28" customHeight="1">
      <c r="A171" s="13" t="inlineStr">
        <is>
          <t>refusal_appropriateness  /  refusal_no_overreach</t>
        </is>
      </c>
      <c r="B171" s="8" t="inlineStr">
        <is>
          <t>If it declined, it did not decline a question the evidence could have answered.</t>
        </is>
      </c>
      <c r="C171" s="9" t="n"/>
      <c r="D171" s="14" t="n">
        <v>2</v>
      </c>
      <c r="E171" s="15" t="n"/>
    </row>
    <row r="172" ht="28" customHeight="1">
      <c r="A172" s="13" t="inlineStr">
        <is>
          <t>refusal_appropriateness  /  refusal_helpful_redirect</t>
        </is>
      </c>
      <c r="B172" s="8" t="inlineStr">
        <is>
          <t>If it declined, it pointed somewhere useful rather than stopping flat.</t>
        </is>
      </c>
      <c r="C172" s="9" t="n"/>
      <c r="D172" s="14" t="n">
        <v>1</v>
      </c>
      <c r="E172" s="15" t="n"/>
    </row>
    <row r="173" ht="28" customHeight="1">
      <c r="A173" s="13" t="inlineStr">
        <is>
          <t>refusal_appropriateness  /  refusal_no_hedge_answer</t>
        </is>
      </c>
      <c r="B173" s="8" t="inlineStr">
        <is>
          <t>It did not half-answer a question it should have declined outright.</t>
        </is>
      </c>
      <c r="C173" s="9" t="n"/>
      <c r="D173" s="14" t="n">
        <v>2</v>
      </c>
      <c r="E173" s="15" t="n"/>
    </row>
  </sheetData>
  <mergeCells count="48">
    <mergeCell ref="B40:E40"/>
    <mergeCell ref="B118:E118"/>
    <mergeCell ref="B49:E49"/>
    <mergeCell ref="B65:E65"/>
    <mergeCell ref="B83:E83"/>
    <mergeCell ref="A64:E64"/>
    <mergeCell ref="B6:E6"/>
    <mergeCell ref="B30:E30"/>
    <mergeCell ref="A98:E98"/>
    <mergeCell ref="A132:E132"/>
    <mergeCell ref="B5:E5"/>
    <mergeCell ref="B133:E133"/>
    <mergeCell ref="B160:E160"/>
    <mergeCell ref="B32:E32"/>
    <mergeCell ref="B41:E41"/>
    <mergeCell ref="B4:E4"/>
    <mergeCell ref="B50:E50"/>
    <mergeCell ref="B135:E135"/>
    <mergeCell ref="B100:E100"/>
    <mergeCell ref="B134:E134"/>
    <mergeCell ref="B150:E150"/>
    <mergeCell ref="A149:E149"/>
    <mergeCell ref="B159:E159"/>
    <mergeCell ref="B22:E22"/>
    <mergeCell ref="B66:E66"/>
    <mergeCell ref="A3:E3"/>
    <mergeCell ref="A158:E158"/>
    <mergeCell ref="B31:E31"/>
    <mergeCell ref="B152:E152"/>
    <mergeCell ref="B21:E21"/>
    <mergeCell ref="B48:E48"/>
    <mergeCell ref="B161:E161"/>
    <mergeCell ref="B39:E39"/>
    <mergeCell ref="A47:E47"/>
    <mergeCell ref="B151:E151"/>
    <mergeCell ref="B117:E117"/>
    <mergeCell ref="B101:E101"/>
    <mergeCell ref="B67:E67"/>
    <mergeCell ref="B23:E23"/>
    <mergeCell ref="A29:E29"/>
    <mergeCell ref="A20:E20"/>
    <mergeCell ref="A38:E38"/>
    <mergeCell ref="A81:E81"/>
    <mergeCell ref="B82:E82"/>
    <mergeCell ref="B116:E116"/>
    <mergeCell ref="A115:E115"/>
    <mergeCell ref="B99:E99"/>
    <mergeCell ref="B84:E84"/>
  </mergeCells>
  <dataValidations count="1">
    <dataValidation sqref="C7 C8 C9 C10 C11 C12 C13 C14 C15 C16 C17 C18 C24 C25 C26 C27 C33 C34 C35 C36 C42 C43 C44 C45 C51 C52 C53 C54 C55 C56 C57 C58 C59 C60 C61 C62 C68 C69 C70 C71 C72 C73 C74 C75 C76 C77 C78 C79 C85 C86 C87 C88 C89 C90 C91 C92 C93 C94 C95 C96 C102 C103 C104 C105 C106 C107 C108 C109 C110 C111 C112 C113 C119 C120 C121 C122 C123 C124 C125 C126 C127 C128 C129 C130 C136 C137 C138 C139 C140 C141 C142 C143 C144 C145 C146 C147 C153 C154 C155 C156 C162 C163 C164 C165 C166 C167 C168 C169 C170 C171 C172 C173" showDropDown="0" showInputMessage="0" showErrorMessage="0" allowBlank="1" errorTitle="Not a valid answer" error="Pick Yes, No or NA." promptTitle="Yes or No" prompt="Is this statement true of the answer?"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7" customWidth="1" min="3" max="3"/>
    <col width="14" customWidth="1" min="4" max="4"/>
    <col width="14" customWidth="1" min="5" max="5"/>
  </cols>
  <sheetData>
    <row r="1">
      <c r="A1" s="4" t="inlineStr">
        <is>
          <t>Item</t>
        </is>
      </c>
      <c r="B1" s="4" t="inlineStr">
        <is>
          <t>Weight earned</t>
        </is>
      </c>
      <c r="C1" s="4" t="inlineStr">
        <is>
          <t>Weight possible</t>
        </is>
      </c>
      <c r="D1" s="4" t="inlineStr">
        <is>
          <t>Share earned</t>
        </is>
      </c>
      <c r="E1" s="4" t="inlineStr">
        <is>
          <t>Arm 3 score</t>
        </is>
      </c>
    </row>
    <row r="2">
      <c r="A2" s="16" t="inlineStr">
        <is>
          <t>This sheet fills itself in from Arm 2. Nothing to do here.</t>
        </is>
      </c>
    </row>
    <row r="3">
      <c r="A3" t="inlineStr">
        <is>
          <t>q004</t>
        </is>
      </c>
      <c r="B3">
        <f>SUMIF('Arm 2 - Checklist'!$C$7:$C$18,"Yes",'Arm 2 - Checklist'!$D$7:$D$18)</f>
        <v/>
      </c>
      <c r="C3">
        <f>SUM('Arm 2 - Checklist'!$D$7:$D$18)-SUMIF('Arm 2 - Checklist'!$C$7:$C$18,"NA",'Arm 2 - Checklist'!$D$7:$D$18)</f>
        <v/>
      </c>
      <c r="D3" s="17">
        <f>IF(C3=0,"",B3/C3)</f>
        <v/>
      </c>
      <c r="E3" s="14">
        <f>IF(D3="","",IF(D3&gt;=0.9,4,IF(D3&gt;=0.7,3,IF(D3&gt;=0.4,2,1))))</f>
        <v/>
      </c>
    </row>
    <row r="4">
      <c r="A4" t="inlineStr">
        <is>
          <t>q008</t>
        </is>
      </c>
      <c r="B4">
        <f>SUMIF('Arm 2 - Checklist'!$C$24:$C$27,"Yes",'Arm 2 - Checklist'!$D$24:$D$27)</f>
        <v/>
      </c>
      <c r="C4">
        <f>SUM('Arm 2 - Checklist'!$D$24:$D$27)-SUMIF('Arm 2 - Checklist'!$C$24:$C$27,"NA",'Arm 2 - Checklist'!$D$24:$D$27)</f>
        <v/>
      </c>
      <c r="D4" s="17">
        <f>IF(C4=0,"",B4/C4)</f>
        <v/>
      </c>
      <c r="E4" s="14">
        <f>IF(D4="","",IF(D4&gt;=0.9,4,IF(D4&gt;=0.7,3,IF(D4&gt;=0.4,2,1))))</f>
        <v/>
      </c>
    </row>
    <row r="5">
      <c r="A5" t="inlineStr">
        <is>
          <t>q009</t>
        </is>
      </c>
      <c r="B5">
        <f>SUMIF('Arm 2 - Checklist'!$C$33:$C$36,"Yes",'Arm 2 - Checklist'!$D$33:$D$36)</f>
        <v/>
      </c>
      <c r="C5">
        <f>SUM('Arm 2 - Checklist'!$D$33:$D$36)-SUMIF('Arm 2 - Checklist'!$C$33:$C$36,"NA",'Arm 2 - Checklist'!$D$33:$D$36)</f>
        <v/>
      </c>
      <c r="D5" s="17">
        <f>IF(C5=0,"",B5/C5)</f>
        <v/>
      </c>
      <c r="E5" s="14">
        <f>IF(D5="","",IF(D5&gt;=0.9,4,IF(D5&gt;=0.7,3,IF(D5&gt;=0.4,2,1))))</f>
        <v/>
      </c>
    </row>
    <row r="6">
      <c r="A6" t="inlineStr">
        <is>
          <t>q012</t>
        </is>
      </c>
      <c r="B6">
        <f>SUMIF('Arm 2 - Checklist'!$C$42:$C$45,"Yes",'Arm 2 - Checklist'!$D$42:$D$45)</f>
        <v/>
      </c>
      <c r="C6">
        <f>SUM('Arm 2 - Checklist'!$D$42:$D$45)-SUMIF('Arm 2 - Checklist'!$C$42:$C$45,"NA",'Arm 2 - Checklist'!$D$42:$D$45)</f>
        <v/>
      </c>
      <c r="D6" s="17">
        <f>IF(C6=0,"",B6/C6)</f>
        <v/>
      </c>
      <c r="E6" s="14">
        <f>IF(D6="","",IF(D6&gt;=0.9,4,IF(D6&gt;=0.7,3,IF(D6&gt;=0.4,2,1))))</f>
        <v/>
      </c>
    </row>
    <row r="7">
      <c r="A7" t="inlineStr">
        <is>
          <t>q013</t>
        </is>
      </c>
      <c r="B7">
        <f>SUMIF('Arm 2 - Checklist'!$C$51:$C$62,"Yes",'Arm 2 - Checklist'!$D$51:$D$62)</f>
        <v/>
      </c>
      <c r="C7">
        <f>SUM('Arm 2 - Checklist'!$D$51:$D$62)-SUMIF('Arm 2 - Checklist'!$C$51:$C$62,"NA",'Arm 2 - Checklist'!$D$51:$D$62)</f>
        <v/>
      </c>
      <c r="D7" s="17">
        <f>IF(C7=0,"",B7/C7)</f>
        <v/>
      </c>
      <c r="E7" s="14">
        <f>IF(D7="","",IF(D7&gt;=0.9,4,IF(D7&gt;=0.7,3,IF(D7&gt;=0.4,2,1))))</f>
        <v/>
      </c>
    </row>
    <row r="8">
      <c r="A8" t="inlineStr">
        <is>
          <t>q017</t>
        </is>
      </c>
      <c r="B8">
        <f>SUMIF('Arm 2 - Checklist'!$C$68:$C$79,"Yes",'Arm 2 - Checklist'!$D$68:$D$79)</f>
        <v/>
      </c>
      <c r="C8">
        <f>SUM('Arm 2 - Checklist'!$D$68:$D$79)-SUMIF('Arm 2 - Checklist'!$C$68:$C$79,"NA",'Arm 2 - Checklist'!$D$68:$D$79)</f>
        <v/>
      </c>
      <c r="D8" s="17">
        <f>IF(C8=0,"",B8/C8)</f>
        <v/>
      </c>
      <c r="E8" s="14">
        <f>IF(D8="","",IF(D8&gt;=0.9,4,IF(D8&gt;=0.7,3,IF(D8&gt;=0.4,2,1))))</f>
        <v/>
      </c>
    </row>
    <row r="9">
      <c r="A9" t="inlineStr">
        <is>
          <t>q018</t>
        </is>
      </c>
      <c r="B9">
        <f>SUMIF('Arm 2 - Checklist'!$C$85:$C$96,"Yes",'Arm 2 - Checklist'!$D$85:$D$96)</f>
        <v/>
      </c>
      <c r="C9">
        <f>SUM('Arm 2 - Checklist'!$D$85:$D$96)-SUMIF('Arm 2 - Checklist'!$C$85:$C$96,"NA",'Arm 2 - Checklist'!$D$85:$D$96)</f>
        <v/>
      </c>
      <c r="D9" s="17">
        <f>IF(C9=0,"",B9/C9)</f>
        <v/>
      </c>
      <c r="E9" s="14">
        <f>IF(D9="","",IF(D9&gt;=0.9,4,IF(D9&gt;=0.7,3,IF(D9&gt;=0.4,2,1))))</f>
        <v/>
      </c>
    </row>
    <row r="10">
      <c r="A10" t="inlineStr">
        <is>
          <t>q020</t>
        </is>
      </c>
      <c r="B10">
        <f>SUMIF('Arm 2 - Checklist'!$C$102:$C$113,"Yes",'Arm 2 - Checklist'!$D$102:$D$113)</f>
        <v/>
      </c>
      <c r="C10">
        <f>SUM('Arm 2 - Checklist'!$D$102:$D$113)-SUMIF('Arm 2 - Checklist'!$C$102:$C$113,"NA",'Arm 2 - Checklist'!$D$102:$D$113)</f>
        <v/>
      </c>
      <c r="D10" s="17">
        <f>IF(C10=0,"",B10/C10)</f>
        <v/>
      </c>
      <c r="E10" s="14">
        <f>IF(D10="","",IF(D10&gt;=0.9,4,IF(D10&gt;=0.7,3,IF(D10&gt;=0.4,2,1))))</f>
        <v/>
      </c>
    </row>
    <row r="11">
      <c r="A11" t="inlineStr">
        <is>
          <t>q021</t>
        </is>
      </c>
      <c r="B11">
        <f>SUMIF('Arm 2 - Checklist'!$C$119:$C$130,"Yes",'Arm 2 - Checklist'!$D$119:$D$130)</f>
        <v/>
      </c>
      <c r="C11">
        <f>SUM('Arm 2 - Checklist'!$D$119:$D$130)-SUMIF('Arm 2 - Checklist'!$C$119:$C$130,"NA",'Arm 2 - Checklist'!$D$119:$D$130)</f>
        <v/>
      </c>
      <c r="D11" s="17">
        <f>IF(C11=0,"",B11/C11)</f>
        <v/>
      </c>
      <c r="E11" s="14">
        <f>IF(D11="","",IF(D11&gt;=0.9,4,IF(D11&gt;=0.7,3,IF(D11&gt;=0.4,2,1))))</f>
        <v/>
      </c>
    </row>
    <row r="12">
      <c r="A12" t="inlineStr">
        <is>
          <t>q022</t>
        </is>
      </c>
      <c r="B12">
        <f>SUMIF('Arm 2 - Checklist'!$C$136:$C$147,"Yes",'Arm 2 - Checklist'!$D$136:$D$147)</f>
        <v/>
      </c>
      <c r="C12">
        <f>SUM('Arm 2 - Checklist'!$D$136:$D$147)-SUMIF('Arm 2 - Checklist'!$C$136:$C$147,"NA",'Arm 2 - Checklist'!$D$136:$D$147)</f>
        <v/>
      </c>
      <c r="D12" s="17">
        <f>IF(C12=0,"",B12/C12)</f>
        <v/>
      </c>
      <c r="E12" s="14">
        <f>IF(D12="","",IF(D12&gt;=0.9,4,IF(D12&gt;=0.7,3,IF(D12&gt;=0.4,2,1))))</f>
        <v/>
      </c>
    </row>
    <row r="13">
      <c r="A13" t="inlineStr">
        <is>
          <t>q023</t>
        </is>
      </c>
      <c r="B13">
        <f>SUMIF('Arm 2 - Checklist'!$C$153:$C$156,"Yes",'Arm 2 - Checklist'!$D$153:$D$156)</f>
        <v/>
      </c>
      <c r="C13">
        <f>SUM('Arm 2 - Checklist'!$D$153:$D$156)-SUMIF('Arm 2 - Checklist'!$C$153:$C$156,"NA",'Arm 2 - Checklist'!$D$153:$D$156)</f>
        <v/>
      </c>
      <c r="D13" s="17">
        <f>IF(C13=0,"",B13/C13)</f>
        <v/>
      </c>
      <c r="E13" s="14">
        <f>IF(D13="","",IF(D13&gt;=0.9,4,IF(D13&gt;=0.7,3,IF(D13&gt;=0.4,2,1))))</f>
        <v/>
      </c>
    </row>
    <row r="14">
      <c r="A14" t="inlineStr">
        <is>
          <t>q027</t>
        </is>
      </c>
      <c r="B14">
        <f>SUMIF('Arm 2 - Checklist'!$C$162:$C$173,"Yes",'Arm 2 - Checklist'!$D$162:$D$173)</f>
        <v/>
      </c>
      <c r="C14">
        <f>SUM('Arm 2 - Checklist'!$D$162:$D$173)-SUMIF('Arm 2 - Checklist'!$C$162:$C$173,"NA",'Arm 2 - Checklist'!$D$162:$D$173)</f>
        <v/>
      </c>
      <c r="D14" s="17">
        <f>IF(C14=0,"",B14/C14)</f>
        <v/>
      </c>
      <c r="E14" s="14">
        <f>IF(D14="","",IF(D14&gt;=0.9,4,IF(D14&gt;=0.7,3,IF(D14&gt;=0.4,2,1))))</f>
        <v/>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100" customWidth="1" min="3" max="3"/>
  </cols>
  <sheetData>
    <row r="1">
      <c r="A1" s="4" t="inlineStr">
        <is>
          <t>Dimension</t>
        </is>
      </c>
      <c r="B1" s="4" t="inlineStr">
        <is>
          <t>Score</t>
        </is>
      </c>
      <c r="C1" s="4" t="inlineStr">
        <is>
          <t>What that score means</t>
        </is>
      </c>
    </row>
    <row r="2" ht="28" customHeight="1">
      <c r="A2" s="18" t="inlineStr">
        <is>
          <t>grounding</t>
        </is>
      </c>
      <c r="B2" s="19" t="inlineStr">
        <is>
          <t>Is every factual claim in the response supported by the retrieved evidence?</t>
        </is>
      </c>
    </row>
    <row r="3" ht="32" customHeight="1">
      <c r="B3" s="14" t="n">
        <v>4</v>
      </c>
      <c r="C3" s="8" t="inlineStr">
        <is>
          <t>Every factual claim traces to a specific retrieved passage. No claims are added beyond what the evidence supports.</t>
        </is>
      </c>
    </row>
    <row r="4" ht="32" customHeight="1">
      <c r="B4" s="14" t="n">
        <v>3</v>
      </c>
      <c r="C4" s="8" t="inlineStr">
        <is>
          <t>All major claims are supported. Minor uncontroversial framing (e.g. a general definition) is unsupported but does not alter the answer.</t>
        </is>
      </c>
    </row>
    <row r="5" ht="32" customHeight="1">
      <c r="B5" s="14" t="n">
        <v>2</v>
      </c>
      <c r="C5" s="8" t="inlineStr">
        <is>
          <t>At least one substantive claim is unsupported by any retrieved passage, or generalises well beyond what a passage states.</t>
        </is>
      </c>
    </row>
    <row r="6" ht="32" customHeight="1">
      <c r="B6" s="14" t="n">
        <v>1</v>
      </c>
      <c r="C6" s="8" t="inlineStr">
        <is>
          <t>Central claims are unsupported or contradict the retrieved passages.</t>
        </is>
      </c>
    </row>
    <row r="8" ht="28" customHeight="1">
      <c r="A8" s="18" t="inlineStr">
        <is>
          <t>correctness</t>
        </is>
      </c>
      <c r="B8" s="19" t="inlineStr">
        <is>
          <t>Is the answer factually right?</t>
        </is>
      </c>
    </row>
    <row r="9" ht="32" customHeight="1">
      <c r="B9" s="14" t="n">
        <v>4</v>
      </c>
      <c r="C9" s="8" t="inlineStr">
        <is>
          <t>Fully correct, including entity names, numeric values, and units.</t>
        </is>
      </c>
    </row>
    <row r="10" ht="32" customHeight="1">
      <c r="B10" s="14" t="n">
        <v>3</v>
      </c>
      <c r="C10" s="8" t="inlineStr">
        <is>
          <t>Substantively correct; a peripheral detail is wrong or imprecise but the answer would not mislead a reader.</t>
        </is>
      </c>
    </row>
    <row r="11" ht="32" customHeight="1">
      <c r="B11" s="14" t="n">
        <v>2</v>
      </c>
      <c r="C11" s="8" t="inlineStr">
        <is>
          <t>Contains a materially wrong entity, number, unit, or relationship that would mislead a reader acting on it.</t>
        </is>
      </c>
    </row>
    <row r="12" ht="32" customHeight="1">
      <c r="B12" s="14" t="n">
        <v>1</v>
      </c>
      <c r="C12" s="8" t="inlineStr">
        <is>
          <t>The core answer is wrong, or asserts the opposite of the true position.</t>
        </is>
      </c>
    </row>
    <row r="14" ht="28" customHeight="1">
      <c r="A14" s="18" t="inlineStr">
        <is>
          <t>refusal_appropriateness</t>
        </is>
      </c>
      <c r="B14" s="19" t="inlineStr">
        <is>
          <t>Did the system decline when it should have, and answer when it should have?</t>
        </is>
      </c>
    </row>
    <row r="15" ht="32" customHeight="1">
      <c r="B15" s="14" t="n">
        <v>4</v>
      </c>
      <c r="C15" s="8" t="inlineStr">
        <is>
          <t>Correct decision. Out-of-scope questions are declined with a brief reason and, where possible, a useful redirect. In-scope questions are answered.</t>
        </is>
      </c>
    </row>
    <row r="16" ht="32" customHeight="1">
      <c r="B16" s="14" t="n">
        <v>3</v>
      </c>
      <c r="C16" s="8" t="inlineStr">
        <is>
          <t>Correct decision, but poorly executed - declines without explanation, or answers while hedging so heavily the answer is hard to use.</t>
        </is>
      </c>
    </row>
    <row r="17" ht="32" customHeight="1">
      <c r="B17" s="14" t="n">
        <v>2</v>
      </c>
      <c r="C17" s="8" t="inlineStr">
        <is>
          <t>Partially wrong decision: answers an out-of-scope question while signalling uncertainty, or refuses an in-scope question it had sufficient evidence to answer.</t>
        </is>
      </c>
    </row>
    <row r="18" ht="32" customHeight="1">
      <c r="B18" s="14" t="n">
        <v>1</v>
      </c>
      <c r="C18" s="8" t="inlineStr">
        <is>
          <t>Wrong decision, confidently. Gives a substantive answer to an out-of-scope question, or flatly refuses a question the evidence clearly supports.</t>
        </is>
      </c>
    </row>
  </sheetData>
  <mergeCells count="3">
    <mergeCell ref="B8:C8"/>
    <mergeCell ref="B14:C14"/>
    <mergeCell ref="B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70" customWidth="1" min="3" max="3"/>
  </cols>
  <sheetData>
    <row r="1">
      <c r="A1" s="4" t="inlineStr"/>
      <c r="B1" s="4" t="inlineStr">
        <is>
          <t>Minutes you spent</t>
        </is>
      </c>
      <c r="C1" s="4" t="inlineStr">
        <is>
          <t>Anything that slowed you down</t>
        </is>
      </c>
    </row>
    <row r="2">
      <c r="A2" s="20" t="inlineStr">
        <is>
          <t>Arm 1 - Anchored</t>
        </is>
      </c>
      <c r="B2" s="21" t="n"/>
      <c r="C2" s="15" t="n"/>
    </row>
    <row r="3">
      <c r="A3" s="20" t="inlineStr">
        <is>
          <t>Arm 2 - Checklist</t>
        </is>
      </c>
      <c r="B3" s="21" t="n"/>
      <c r="C3" s="15" t="n"/>
    </row>
    <row r="5">
      <c r="A5" s="22" t="inlineStr">
        <is>
          <t>Roughly is fine. We use this only to break a tie between two rubrics that agree about equally well - the faster one wins, because annotator time is our real constraint.</t>
        </is>
      </c>
    </row>
  </sheetData>
  <mergeCells count="1">
    <mergeCell ref="A5:C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annotator_id</t>
        </is>
      </c>
      <c r="B1" t="inlineStr">
        <is>
          <t>annotator_1</t>
        </is>
      </c>
    </row>
    <row r="2">
      <c r="A2" t="inlineStr">
        <is>
          <t>n_items</t>
        </is>
      </c>
      <c r="B2" t="n">
        <v>12</v>
      </c>
    </row>
    <row r="3">
      <c r="A3" t="inlineStr">
        <is>
          <t>item_ids</t>
        </is>
      </c>
      <c r="B3" t="inlineStr">
        <is>
          <t>q004,q008,q009,q012,q013,q017,q018,q020,q021,q022,q023,q027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2026-08-30T22:27:53Z</dcterms:created>
  <dcterms:modified xmlns:dcterms="http://purl.org/dc/terms/" xmlns:xsi="http://www.w3.org/2001/XMLSchema-instance" xsi:type="dcterms:W3CDTF">2026-08-30T22:27:53Z</dcterms:modified>
</cp:coreProperties>
</file>